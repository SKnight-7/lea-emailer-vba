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sknig\Desktop\ProjectsForCowork\Project Wrangling\ProjectsToShowcase\lea-emailer-vba\"/>
    </mc:Choice>
  </mc:AlternateContent>
  <xr:revisionPtr revIDLastSave="0" documentId="13_ncr:1_{B30AA57F-D22D-493C-BD47-2F5064624C79}" xr6:coauthVersionLast="47" xr6:coauthVersionMax="47" xr10:uidLastSave="{00000000-0000-0000-0000-000000000000}"/>
  <bookViews>
    <workbookView xWindow="-120" yWindow="-120" windowWidth="51840" windowHeight="21120" xr2:uid="{1BAE10D7-0EFC-48D6-B970-3EA5791D89B8}"/>
  </bookViews>
  <sheets>
    <sheet name="Instructions" sheetId="8" r:id="rId1"/>
    <sheet name="SourceData" sheetId="5" r:id="rId2"/>
    <sheet name="Data" sheetId="2" r:id="rId3"/>
    <sheet name="Config" sheetId="3" r:id="rId4"/>
    <sheet name="Info" sheetId="6" r:id="rId5"/>
    <sheet name="ErrorLog" sheetId="4" r:id="rId6"/>
  </sheets>
  <functionGroups builtInGroupCount="19"/>
  <definedNames>
    <definedName name="_xlpm.data" hidden="1" xlm="1">#NAME?</definedName>
    <definedName name="_xlpm.name"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 i="4" l="1"/>
  <c r="I2" i="4"/>
  <c r="C3" i="2" a="1"/>
  <c r="C3" i="2" s="1"/>
  <c r="C2" i="2" a="1"/>
  <c r="C2" i="2" s="1"/>
  <c r="B5" i="6"/>
  <c r="B4" i="6"/>
  <c r="D21" i="6"/>
  <c r="D17" i="6"/>
  <c r="D18" i="6"/>
  <c r="D10" i="6"/>
  <c r="D11" i="6"/>
  <c r="D12" i="6"/>
  <c r="D13" i="6"/>
  <c r="D14" i="6"/>
  <c r="D19" i="6"/>
  <c r="D22" i="6"/>
  <c r="D23" i="6"/>
  <c r="D24" i="6"/>
  <c r="D27" i="6"/>
  <c r="D28" i="6"/>
  <c r="D29" i="6"/>
  <c r="D30" i="6"/>
  <c r="D20" i="6"/>
  <c r="D15" i="6"/>
  <c r="D16" i="6"/>
  <c r="D25" i="6"/>
  <c r="D26" i="6"/>
  <c r="L3" i="2" l="1" a="1"/>
  <c r="L3" i="2" s="1"/>
  <c r="J3" i="2" a="1"/>
  <c r="B3" i="2" a="1"/>
  <c r="B3" i="2" s="1"/>
  <c r="B6" i="6"/>
  <c r="J3" i="2" l="1"/>
  <c r="K3" i="2" s="1" a="1"/>
  <c r="K3" i="2" s="1"/>
  <c r="B1" i="2"/>
  <c r="A3" i="5" a="1"/>
  <c r="A3" i="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<sst xmlns="http://schemas.openxmlformats.org/spreadsheetml/2006/main" count="312" uniqueCount="298">
  <si>
    <t>LEAName</t>
  </si>
  <si>
    <t>Title</t>
  </si>
  <si>
    <t>Optional</t>
  </si>
  <si>
    <t>Required</t>
  </si>
  <si>
    <t>ToEmail</t>
  </si>
  <si>
    <t>LastName</t>
  </si>
  <si>
    <t>FirstName</t>
  </si>
  <si>
    <t>Setting</t>
  </si>
  <si>
    <t>Value</t>
  </si>
  <si>
    <t>FiscalYearPrefix</t>
  </si>
  <si>
    <t>FY 2025-26</t>
  </si>
  <si>
    <t>OriginalSplitFolderPath</t>
  </si>
  <si>
    <t>EmailTemplatePath</t>
  </si>
  <si>
    <t>OriginalBaseFileName</t>
  </si>
  <si>
    <t>GAN for LEA-</t>
  </si>
  <si>
    <t>NewBaseFileName</t>
  </si>
  <si>
    <t>FileExtension</t>
  </si>
  <si>
    <t>FromAddress</t>
  </si>
  <si>
    <t>Configuration Settings</t>
  </si>
  <si>
    <t>Reference</t>
  </si>
  <si>
    <t>{leaname}, {title}, {lastname}, {firstname}</t>
  </si>
  <si>
    <t>Associated Data</t>
  </si>
  <si>
    <t>Split PDF Naming Pattern</t>
  </si>
  <si>
    <t>Renamed PDF Naming Pattern</t>
  </si>
  <si>
    <t>Unsplit PDF File Name</t>
  </si>
  <si>
    <t>Available Email Placeholders</t>
  </si>
  <si>
    <t>FixedCCAddress</t>
  </si>
  <si>
    <t>ReadyToSend</t>
  </si>
  <si>
    <t>FileNum</t>
  </si>
  <si>
    <t>OriginalFilePath</t>
  </si>
  <si>
    <t>RenamedFilePath</t>
  </si>
  <si>
    <t>Y</t>
  </si>
  <si>
    <t>Duplicates highlighted yellow</t>
  </si>
  <si>
    <t>Missing required data highlighted red</t>
  </si>
  <si>
    <t>Timestamp</t>
  </si>
  <si>
    <t>DataRow</t>
  </si>
  <si>
    <t>Meaning</t>
  </si>
  <si>
    <t>Fix</t>
  </si>
  <si>
    <t>General Info</t>
  </si>
  <si>
    <t>File Not Found</t>
  </si>
  <si>
    <t>The renamed PDF doesn't exist at the expected path</t>
  </si>
  <si>
    <t>Verify the rename macro was run first and the LEAName matches exactly</t>
  </si>
  <si>
    <t>The source PDF doesn't exist for renaming</t>
  </si>
  <si>
    <t>Verify the PDF was split and the file number matches the row</t>
  </si>
  <si>
    <t>Rename Failed</t>
  </si>
  <si>
    <t>The PDF couldn't be copied to the new location</t>
  </si>
  <si>
    <t>Check write permissions to the destination folder and that the file isn't open in another program</t>
  </si>
  <si>
    <t>File Already Exists</t>
  </si>
  <si>
    <t>A renamed PDF with this name already exists</t>
  </si>
  <si>
    <t>Check for duplicate LEANames or a previous partial run</t>
  </si>
  <si>
    <t>Path Too Long</t>
  </si>
  <si>
    <t>The file path exceeds Windows' 260-character limit</t>
  </si>
  <si>
    <t>Outlook Error</t>
  </si>
  <si>
    <t>Outlook encountered an unexpected error</t>
  </si>
  <si>
    <t>Template Not Found</t>
  </si>
  <si>
    <t>Check EmailTemplatePath in Config</t>
  </si>
  <si>
    <t>LEAName contains characters not allowed in filenames</t>
  </si>
  <si>
    <t>Remove characters like / \ : * ? " &lt; &gt;</t>
  </si>
  <si>
    <t>Error Meanings</t>
  </si>
  <si>
    <t>ErrorMessage</t>
  </si>
  <si>
    <t>RenamedFilesFolderPath</t>
  </si>
  <si>
    <t>DuplicateCheck</t>
  </si>
  <si>
    <t>ErrorOccurredDuring</t>
  </si>
  <si>
    <t>Duplicate LEA Name</t>
  </si>
  <si>
    <t>This LEA name appears more than once in the data</t>
  </si>
  <si>
    <t>Resolve duplicates in the DataSource tab (true duplicates like Washington Unified should be modified to differentiate the entities), then re-run</t>
  </si>
  <si>
    <t>The cell that should contain the path to the file being renamed is empty</t>
  </si>
  <si>
    <t>Check if all file paths are missing, which would indicate the formula was deleted. If only some are missing, the original spill formula may have been replaced by row-by-row formulas, and specific ones were omitted or deleted. Check the formulas in the Data tab's OriginalFilePath column</t>
  </si>
  <si>
    <t>Missing FROM Path</t>
  </si>
  <si>
    <t>Missing TO Path</t>
  </si>
  <si>
    <t>The cell that should contain the path to where the renamed file should go is empty</t>
  </si>
  <si>
    <t>Check if all file paths are missing, which would indicate the formula was deleted. If only some are missing, the original spill formula may have been replaced by row-by-row formulas, and specific ones were omitted or deleted. Check the formulas in the Data tab's RenamedFilePath column</t>
  </si>
  <si>
    <t>File to Rename Not Found</t>
  </si>
  <si>
    <t>Missing EmailTemplatePath</t>
  </si>
  <si>
    <t>The cell that should contain the path to the Outlook template is empty</t>
  </si>
  <si>
    <t>Enter the full file path to the .oft template for your emails in the EmailTemplatePath field of the Config tab</t>
  </si>
  <si>
    <t>Missing FixedCCAddress</t>
  </si>
  <si>
    <t>Missing FixedBCCAddress</t>
  </si>
  <si>
    <t>Ensure Outlook is running and not in offline mode. Also verify that you have Send permissions for the mailbox in the FromAddress if sending from a shared mailbox.</t>
  </si>
  <si>
    <t>Contains Illegal Characters</t>
  </si>
  <si>
    <t>UseFixedAttachment(Y/N)</t>
  </si>
  <si>
    <t>FixedAttachmentPath</t>
  </si>
  <si>
    <t>UsePersonalizedAttachment(row by row filepaths)(Y/N)</t>
  </si>
  <si>
    <t>UseFixedCC(Y/N)</t>
  </si>
  <si>
    <t>N</t>
  </si>
  <si>
    <t>WHEN SENDING GANs, DATA ORDER MUST MATCH GAN ORDER IN APPROVED GAN PDF</t>
  </si>
  <si>
    <t>Missing FixedAttachmentPath</t>
  </si>
  <si>
    <t>Fixed Attachment Not Found</t>
  </si>
  <si>
    <t>UseFixedAttachment is enabled, but the cell that should contain the path  to the attachment is empty</t>
  </si>
  <si>
    <t>The fixed attachment does not exist at the specified path</t>
  </si>
  <si>
    <t>The email template file doesn't exist at the specified path</t>
  </si>
  <si>
    <t>Shorten folder names or LEAName or store your files at a higher structural level</t>
  </si>
  <si>
    <t>Enter the full path to the file you want to attach</t>
  </si>
  <si>
    <t>Check FixedAttachmentPath in Config</t>
  </si>
  <si>
    <t>Either enter a BCC address in Config or set UseFixedBCC(Y/N) to N</t>
  </si>
  <si>
    <t>Either enter a CC address in Config or set UseFixedCC(Y/N) to N</t>
  </si>
  <si>
    <t>No Data</t>
  </si>
  <si>
    <t>The Data tab has no rows to process</t>
  </si>
  <si>
    <t>Populate the appropriate columns in the SourceData tab</t>
  </si>
  <si>
    <t>No Rows Ready</t>
  </si>
  <si>
    <t>No rows in the Data tab are marked Y in the ReadyToSend column</t>
  </si>
  <si>
    <t xml:space="preserve">Set ReadyToSend to Y for the rows you want to process. </t>
  </si>
  <si>
    <t>ErrorMessage | Meaning | Fix</t>
  </si>
  <si>
    <t>Malformed Email Address</t>
  </si>
  <si>
    <t>An email address is not in standard format (text@text.text)</t>
  </si>
  <si>
    <t>UseFixedBCC(Y/N) is enabled, but the cell that should contain the email address to be BCC'd in every email is empty.</t>
  </si>
  <si>
    <t>UseFixedCC(Y/N) is enabled, but the cell that should contain the email address to be CC'd in every email is empty.</t>
  </si>
  <si>
    <t>A Y/N configuration field was blank or contained an invalid value. It was treated as N</t>
  </si>
  <si>
    <t>Invalid Y/N Setting</t>
  </si>
  <si>
    <t>Missing Email Address</t>
  </si>
  <si>
    <t>Check email addresses (in Config tab if error occurred during Email Setup and by row otherwise) for typos, formatting errors, or missing characters</t>
  </si>
  <si>
    <t>Enter an email address in the ToEmail column for this row</t>
  </si>
  <si>
    <t>Enter Y or N for all Y/N settings in the Config tab</t>
  </si>
  <si>
    <t>The recipient email address (ToEmail) is missing.</t>
  </si>
  <si>
    <t>Initial Setup</t>
  </si>
  <si>
    <t xml:space="preserve">    Make sure to save it as a macro-enabled workbook (.xlsm), not .xlsx.</t>
  </si>
  <si>
    <t xml:space="preserve">    IMPORTANT: If you save as .xlsx, the macros will be removed and the tool will not work.</t>
  </si>
  <si>
    <t>Overview: What This Tool Does</t>
  </si>
  <si>
    <t xml:space="preserve">    This tool sends emails to LEAs (Local Educational Agencies) using an Outlook email template.</t>
  </si>
  <si>
    <t xml:space="preserve">    It can optionally attach files — either the same file to every email, or a different file per LEA, or both.</t>
  </si>
  <si>
    <t xml:space="preserve">    It has two macros:</t>
  </si>
  <si>
    <t xml:space="preserve">        1. Rename Files — copies and renames PDFs (or other files) so each LEA gets a file with their name on it.</t>
  </si>
  <si>
    <t xml:space="preserve">        2. Email LEAs — sends or previews emails with optional attachments.</t>
  </si>
  <si>
    <t xml:space="preserve">    You may not need both macros. If you are not sending personalized attachments, you only need Email LEAs.</t>
  </si>
  <si>
    <t>Config Tab</t>
  </si>
  <si>
    <t xml:space="preserve">    Go to the Config tab of this workbook.</t>
  </si>
  <si>
    <t xml:space="preserve">    Fill in only the settings that apply to your project. Here is what each setting does:</t>
  </si>
  <si>
    <t>--- File Rename Settings (only needed if using the Rename Files macro) ---</t>
  </si>
  <si>
    <t xml:space="preserve">    FiscalYearPrefix: The fiscal year label (e.g., "FY 2025-26"). Used in file naming.</t>
  </si>
  <si>
    <t xml:space="preserve">    OriginalSplitFolderPath: The folder containing the original split files to be renamed.</t>
  </si>
  <si>
    <t xml:space="preserve">    RenamedFilesFolderPath: The folder where renamed files will be saved.</t>
  </si>
  <si>
    <t xml:space="preserve">    OriginalBaseFileName: The base name of the original split files before the number (e.g., "GAN for LEA-").</t>
  </si>
  <si>
    <t>--- Email Settings ---</t>
  </si>
  <si>
    <t xml:space="preserve">    EmailTemplatePath: The full file path to your Outlook email template (.oft file).</t>
  </si>
  <si>
    <t xml:space="preserve">    FromAddress: The shared mailbox to send from (e.g., "CTEIncentive@cde.ca.gov").</t>
  </si>
  <si>
    <t xml:space="preserve">    UseFixedCC(Y/N): Enter Y to add the same CC address to every email, or N to skip.</t>
  </si>
  <si>
    <t xml:space="preserve">    FixedCCAddress: The email address to CC on every email (only used if UseFixedCC is Y).</t>
  </si>
  <si>
    <t>--- Attachment Settings ---</t>
  </si>
  <si>
    <t xml:space="preserve">    UsePersonalizedAttachment(Y/N): Enter Y to attach a different file to each email based on the RenamedFilePath column in the Data tab.</t>
  </si>
  <si>
    <t xml:space="preserve">    UseFixedAttachment(Y/N): Enter Y to attach the same file to every email, or N to skip.</t>
  </si>
  <si>
    <t xml:space="preserve">    FixedAttachmentPath: The full file path to the file you want to attach to every email (only used if UseFixedAttachment is Y).</t>
  </si>
  <si>
    <t>--- Y/N Fields: Important Notes ---</t>
  </si>
  <si>
    <t xml:space="preserve">    All Y/N fields must contain Y or N. Do not leave them blank.</t>
  </si>
  <si>
    <t xml:space="preserve">    If a Y/N field is blank or contains anything other than Y or N, the macro will treat it as N and warn you.</t>
  </si>
  <si>
    <t>Creating an Outlook Email Template (.oft)</t>
  </si>
  <si>
    <t xml:space="preserve">    Open Outlook and create a new email.</t>
  </si>
  <si>
    <t xml:space="preserve">    Write your email as you want it to appear. You can use the following placeholders:</t>
  </si>
  <si>
    <t xml:space="preserve">        {leaname} — replaced with the LEA name from each row</t>
  </si>
  <si>
    <t xml:space="preserve">        {title} — replaced with the Title from each row (e.g., Superintendent, Director)</t>
  </si>
  <si>
    <t xml:space="preserve">        {lastname} — replaced with the last name from each row</t>
  </si>
  <si>
    <t xml:space="preserve">        {firstname} — replaced with the first name from each row</t>
  </si>
  <si>
    <t xml:space="preserve">    Placeholders work in both the subject line and the body of the email.</t>
  </si>
  <si>
    <t xml:space="preserve">    Placeholders are case-sensitive. Use lowercase with curly braces exactly as shown above.</t>
  </si>
  <si>
    <t xml:space="preserve">    When your email is ready, go to File &gt; Save As.</t>
  </si>
  <si>
    <t xml:space="preserve">    Change the "Save as type" dropdown to "Outlook Template (*.oft)".</t>
  </si>
  <si>
    <t xml:space="preserve">    Save it to your project folder (the same location as this workbook is fine).</t>
  </si>
  <si>
    <t xml:space="preserve">    Copy the full file path and paste it into the EmailTemplatePath field in the Config tab.</t>
  </si>
  <si>
    <t>Loading Source Data</t>
  </si>
  <si>
    <t xml:space="preserve">    Go to the SourceData tab of this workbook.</t>
  </si>
  <si>
    <t xml:space="preserve">    Delete all data rows, but NOT the headers. Since this is a structured Excel table, delete the rows themselves, not just the cell contents.</t>
  </si>
  <si>
    <t xml:space="preserve">    Enter your data in the following columns:</t>
  </si>
  <si>
    <t xml:space="preserve">        LEAName (Required) — The name of the LEA. Must be unique. Must not contain characters like / \ : * ? " &lt; &gt; |</t>
  </si>
  <si>
    <t xml:space="preserve">        ToEmail (Required) — The recipient email address.</t>
  </si>
  <si>
    <t xml:space="preserve">        Title (Optional) — e.g., "Superintendent" or "Director". Used for the {title} placeholder.</t>
  </si>
  <si>
    <t xml:space="preserve">        LastName (Optional) — Used for the {lastname} placeholder.</t>
  </si>
  <si>
    <t xml:space="preserve">        FirstName (Optional) — Used for the {firstname} placeholder.</t>
  </si>
  <si>
    <t xml:space="preserve">    IMPORTANT: If sending personalized attachments, the order of LEAs in SourceData MUST match the order of the split files.</t>
  </si>
  <si>
    <t>The Data Tab (Do Not Edit Directly)</t>
  </si>
  <si>
    <t xml:space="preserve">    The DuplicateCheck column (column B) automatically flags duplicates. If it shows TRUE, that LEA name appears more than once.</t>
  </si>
  <si>
    <t>Splitting the Long PDF (Only If Sending Personalized Attachments From a Single Source PDF)</t>
  </si>
  <si>
    <t xml:space="preserve">    If you are not sending personalized attachments, skip this section entirely.</t>
  </si>
  <si>
    <t xml:space="preserve">    Make a copy of the long PDF and put it in the folder specified by OriginalSplitFolderPath in Config.</t>
  </si>
  <si>
    <t xml:space="preserve">    Open the PDF in Adobe Acrobat.</t>
  </si>
  <si>
    <t xml:space="preserve">    Go to Tools &gt; Organize Pages &gt; Split.</t>
  </si>
  <si>
    <t xml:space="preserve">    In the "Split by" dropdown, select "Number of pages" and set it to the number of pages per LEA (usually 1 or 2).</t>
  </si>
  <si>
    <t xml:space="preserve">    Click "Output Options."</t>
  </si>
  <si>
    <t xml:space="preserve">    Click the radio button for "A Folder on My Computer."</t>
  </si>
  <si>
    <t xml:space="preserve">    Browse to the folder specified by OriginalSplitFolderPath and click OK.</t>
  </si>
  <si>
    <t xml:space="preserve">    Make sure "Add label and number after original name" is selected.</t>
  </si>
  <si>
    <t xml:space="preserve">    Deselect "Use label."</t>
  </si>
  <si>
    <t xml:space="preserve">    Deselect "Use separator between original name and label."</t>
  </si>
  <si>
    <t xml:space="preserve">    Click OK, then click Split.</t>
  </si>
  <si>
    <t>Running the Rename Files Macro (Only If Sending Personalized Attachments)</t>
  </si>
  <si>
    <t xml:space="preserve">    If you are not sending personalized attachments, skip this section.</t>
  </si>
  <si>
    <t xml:space="preserve">    Make sure your split files are in the OriginalSplitFolderPath folder.</t>
  </si>
  <si>
    <t xml:space="preserve">    Make sure the RenamedFilesFolderPath folder exists (create it if it doesn't).</t>
  </si>
  <si>
    <t xml:space="preserve">    Select "RenameGANs" and click Run.</t>
  </si>
  <si>
    <t xml:space="preserve">    The macro will copy each file and rename it using the LEA name from the Data tab.</t>
  </si>
  <si>
    <t xml:space="preserve">    When finished, it will show a summary of how many files were renamed and if any were skipped.</t>
  </si>
  <si>
    <t xml:space="preserve">    If any files were skipped, check the ErrorLog tab for details.</t>
  </si>
  <si>
    <t>Running the Email LEAs Macro</t>
  </si>
  <si>
    <t xml:space="preserve">    Make sure Outlook is open and running before you start.</t>
  </si>
  <si>
    <t xml:space="preserve">    Go to the Data tab and set ReadyToSend to Y for the rows you want to process.</t>
  </si>
  <si>
    <t xml:space="preserve">    Select "EmailLEAs" and click Run.</t>
  </si>
  <si>
    <t>--- Setup Phase ---</t>
  </si>
  <si>
    <t xml:space="preserve">    The macro will check your Config settings and data for issues.</t>
  </si>
  <si>
    <t xml:space="preserve">    If there are critical problems (missing template, no data, no rows marked Y), it will say "Setup cannot proceed" and stop.</t>
  </si>
  <si>
    <t xml:space="preserve">        Check the ErrorLog tab for details, fix the issues, and run again.</t>
  </si>
  <si>
    <t xml:space="preserve">    If there are warnings but nothing critical, it will show you a summary of what it found and what it will attach.</t>
  </si>
  <si>
    <t xml:space="preserve">        Click YES to accept and continue, or NO to stop and review the ErrorLog tab.</t>
  </si>
  <si>
    <t xml:space="preserve">    If everything is clean, it will show you the attachment summary and ask you to confirm.</t>
  </si>
  <si>
    <t>--- Send or Preview ---</t>
  </si>
  <si>
    <t xml:space="preserve">    After setup, you will see a menu with three options:</t>
  </si>
  <si>
    <t xml:space="preserve">        YES = Send All — sends emails immediately to all rows marked Y.</t>
  </si>
  <si>
    <t xml:space="preserve">        SENDING CANNOT BE UNDONE. You will be asked to confirm before any emails are sent.</t>
  </si>
  <si>
    <t xml:space="preserve">        NO = Preview a Sample — generates draft emails in Outlook for you to review before sending.</t>
  </si>
  <si>
    <t xml:space="preserve">        CANCEL = Exit — stops the macro without doing anything.</t>
  </si>
  <si>
    <t>--- Preview Mode ---</t>
  </si>
  <si>
    <t xml:space="preserve">    If you choose to preview, the macro will ask two questions:</t>
  </si>
  <si>
    <t xml:space="preserve">        1. Where in the list? Beginning (1), Middle (2), or End (3).</t>
  </si>
  <si>
    <t xml:space="preserve">        2. How many emails to preview?</t>
  </si>
  <si>
    <t xml:space="preserve">    Draft emails will open in Outlook for you to inspect. Check that the addresses, subject, body, and attachments all look correct.</t>
  </si>
  <si>
    <t xml:space="preserve">    When you are satisfied, run the macro again and choose YES to send.</t>
  </si>
  <si>
    <t>After Running the Macro</t>
  </si>
  <si>
    <t xml:space="preserve">    The macro will show a summary message telling you how many emails were sent (or previewed) and if any rows were skipped.</t>
  </si>
  <si>
    <t xml:space="preserve">    Rows that were successfully sent will show "Sent" in the ReadyToSend column.</t>
  </si>
  <si>
    <t xml:space="preserve">    Rows that had errors will show "Error" in the ReadyToSend column.</t>
  </si>
  <si>
    <t xml:space="preserve">    If any rows were skipped, check the ErrorLog tab. Each error includes:</t>
  </si>
  <si>
    <t xml:space="preserve">        - When it happened (Email Setup, Send Emails, or Review Emails)</t>
  </si>
  <si>
    <t xml:space="preserve">        - Which row in the Data tab</t>
  </si>
  <si>
    <t xml:space="preserve">        - The LEA name and email addresses</t>
  </si>
  <si>
    <t xml:space="preserve">        - What the error means and how to fix it</t>
  </si>
  <si>
    <t>Troubleshooting</t>
  </si>
  <si>
    <t>Reusing This Workbook for a New Project</t>
  </si>
  <si>
    <t xml:space="preserve">    Use File &gt; Save As to save a new copy with a different name.</t>
  </si>
  <si>
    <t xml:space="preserve">    Clear the SourceData tab (delete data rows, keep headers).</t>
  </si>
  <si>
    <t xml:space="preserve">    Clear the ErrorLog tab (delete data rows, keep headers).</t>
  </si>
  <si>
    <t xml:space="preserve">    Reset all ReadyToSend values in the Data tab (they will clear automatically when SourceData is cleared).</t>
  </si>
  <si>
    <t xml:space="preserve">    Update the Config tab with your new project settings.</t>
  </si>
  <si>
    <t xml:space="preserve">    Double-check ALL Config settings, especially file paths. Leftover paths from a previous project will cause errors.</t>
  </si>
  <si>
    <t xml:space="preserve">    Review Y/N settings carefully. The macro will warn you about mismatches (e.g., UseFixedCC is N but FixedCCAddress has a value), but it is best to clean them up yourself.</t>
  </si>
  <si>
    <t xml:space="preserve">    Make a copy of this workbook and name it anything you like at the location where you want to work from (e.g., a project folder on the G: drive).</t>
  </si>
  <si>
    <t>pdf</t>
  </si>
  <si>
    <t>GAN for</t>
  </si>
  <si>
    <t xml:space="preserve">    NewBaseFileName: The base name for renamed files before the LEA name (do not include a trailing space) (e.g., "GAN for").</t>
  </si>
  <si>
    <t xml:space="preserve">    FileExtension: The file extension, not including the period (e.g., "pdf").</t>
  </si>
  <si>
    <t xml:space="preserve">        - REQUIRED for sending emails. The macro will not run without this.</t>
  </si>
  <si>
    <t xml:space="preserve">        - If left blank, emails will be sent from YOUR OWN email address. The macro will warn you about this.</t>
  </si>
  <si>
    <t xml:space="preserve">    Almost all of the Data tab is populated by formulas that pull from SourceData. Do not type anywhere but ReadyToSend (Column A).</t>
  </si>
  <si>
    <t xml:space="preserve">    This section is for when you have one long, combined PDF that needs to be split into individual files (e.g., GANs).</t>
  </si>
  <si>
    <t xml:space="preserve">    Rename the copy to match the Unsplit PDF File Name shown in the Info tab (e.g., "FY 2025-26 GAN for LEA-").</t>
  </si>
  <si>
    <t xml:space="preserve">    Go to the View tab in Excel and click "Macros" (or press Alt+F8).</t>
  </si>
  <si>
    <t xml:space="preserve">    Go to the View tab in Excel and click "Macros".</t>
  </si>
  <si>
    <t xml:space="preserve">    Preview does not mark rows as Sent (they stay as Y so you can still send them later). However, rows that fail validation will be marked as Error in both modes. You can preview as many times as you want before sending.</t>
  </si>
  <si>
    <t xml:space="preserve">    "Setup cannot proceed": Check the ErrorLog tab. Common causes: blank EmailTemplatePath, template file moved or deleted, no data in SourceData, no rows marked Y.</t>
  </si>
  <si>
    <t xml:space="preserve">    "Emails will be sent from YOUR OWN EMAIL ADDRESS": The FromAddress field in Config is blank. Enter a shared mailbox address if you want to send from one.</t>
  </si>
  <si>
    <t xml:space="preserve">    Emails not arriving: Check your Outlook Sent Items folder. If they are there, the issue is on the recipient end. If they are not, check for Outlook Errors in the ErrorLog.</t>
  </si>
  <si>
    <t xml:space="preserve">    "Error" in ReadyToSend column: Check the ErrorLog tab for that row. The Meaning and Fix columns will tell you what went wrong and how to fix it.</t>
  </si>
  <si>
    <t xml:space="preserve">    Duplicate warnings: Go to SourceData and find the duplicate LEA names. If they are genuinely different entities with the same name, modify the names slightly to make them unique.</t>
  </si>
  <si>
    <t xml:space="preserve">    If you encounter an issue not covered here, check the Troubleshooting Errors tab (Info tab) which lists more errors, what they mean, and how to fix them.</t>
  </si>
  <si>
    <t xml:space="preserve">            - For example, if there are two "Washington Unified" entries, rename them to "Washington Unified (Fresno)" and "Washington Unified (Yolo)".</t>
  </si>
  <si>
    <t xml:space="preserve">    Before running any macros, check LEAName for characters that are not allowed in file names: / \ : * ? " &lt; &gt; |</t>
  </si>
  <si>
    <t xml:space="preserve">    After sending, Y will be changed to "Sent" for successful emails or "Error" for failures.</t>
  </si>
  <si>
    <t xml:space="preserve">    Set ReadyToSend to Y for each row you want to process.</t>
  </si>
  <si>
    <t>Re-Sending After Fixing Errors</t>
  </si>
  <si>
    <t xml:space="preserve">    If you encounter an issue you cannot resolve using the ErrorLog and these instructions, reach out to your Excel person for help.</t>
  </si>
  <si>
    <t>CCEmail2</t>
  </si>
  <si>
    <t>CCEmail1</t>
  </si>
  <si>
    <t>--- CC Settings ---</t>
  </si>
  <si>
    <t xml:space="preserve">        - Row-level CC addresses (CCEmail1 and CCEmail2) from the Data tab are always used if present, regardless of this setting.</t>
  </si>
  <si>
    <t xml:space="preserve">        - If Fixed CC is enabled, it is ADDED to the row-level CCs, not replaced.</t>
  </si>
  <si>
    <t xml:space="preserve">        - If using personalized attachments, you must run the Rename Files macro first (or populate the RenamedFilePath column manually).</t>
  </si>
  <si>
    <t xml:space="preserve">        - You can use both attachment types at the same time. Each email would get the fixed file AND its personalized file.</t>
  </si>
  <si>
    <t xml:space="preserve">        - You can also set both to N if you are not attaching any files.</t>
  </si>
  <si>
    <t xml:space="preserve">    TIP: Outlook sometimes inserts invisible formatting tags inside placeholder text, which can prevent replacements from working. If a placeholder is not being replaced, try deleting it entirely and retyping it in one go — do not click in the middle of it or edit it character by character.</t>
  </si>
  <si>
    <t xml:space="preserve">        - To delete rows: select the row numbers on the left, right-click, and choose Delete. Do NOT just press the Delete key on your keyboard.</t>
  </si>
  <si>
    <t xml:space="preserve">        CCEmail1 (Optional) — A CC address specific to this row (e.g., CTE Coordinator).</t>
  </si>
  <si>
    <t xml:space="preserve">        CCEmail2 (Optional) — A second CC address specific to this row (e.g., Regional Consultant).</t>
  </si>
  <si>
    <t xml:space="preserve">        - You can type Y in the first cell, then double-click the small square in the bottom-right corner of the cell. It will auto-fill all the way down.</t>
  </si>
  <si>
    <t xml:space="preserve">        - This is just a starting point. You can change individual rows to N later if you want to hold some back.</t>
  </si>
  <si>
    <t xml:space="preserve">    Change Y to N for rows you want to skip.</t>
  </si>
  <si>
    <t xml:space="preserve">        - Do not run macros if duplicates are present. Resolve them in the SourceData tab first.</t>
  </si>
  <si>
    <t xml:space="preserve">        - If duplicates are found, go to the SourceData tab and rename them to make them unique.</t>
  </si>
  <si>
    <t xml:space="preserve">        - If you do not resolve duplicates, those rows will be skipped and flagged as errors.</t>
  </si>
  <si>
    <t xml:space="preserve">        - In the LEAName dropdown, search for a forward slash ("/"), which is the most common issue.</t>
  </si>
  <si>
    <t xml:space="preserve">        - If you find any, manually RENAME it because the attachment's filename CANNOT contain the special characters \, /, :, *, ?, ", &lt;, &gt;, or |</t>
  </si>
  <si>
    <t xml:space="preserve">            - (examples: ROC/P -&gt; ROC(P) or ROC/P -&gt; ROC-P)</t>
  </si>
  <si>
    <t xml:space="preserve">        - Clear filters if necessary</t>
  </si>
  <si>
    <t xml:space="preserve">    A progress indicator will appear in the status bar at the bottom-left of the Excel window.</t>
  </si>
  <si>
    <t>--- Error Log Prompt ---</t>
  </si>
  <si>
    <t xml:space="preserve">    If the ErrorLog tab contains entries from a previous run, the macro will ask if you want to clear them.</t>
  </si>
  <si>
    <t xml:space="preserve">        - Click YES to clear old entries and start fresh (recommended for most runs).</t>
  </si>
  <si>
    <t xml:space="preserve">        - Click NO to keep them (useful if you want to compare errors across runs).</t>
  </si>
  <si>
    <t xml:space="preserve">    If the ErrorLog is already empty, this prompt will not appear.</t>
  </si>
  <si>
    <t>--- During Processing ---</t>
  </si>
  <si>
    <t xml:space="preserve">    A progress indicator will appear in the status bar at the bottom-left of the Excel window showing how many emails have been processed (e.g., "Send Emails: 47 of 213...").</t>
  </si>
  <si>
    <t xml:space="preserve">    Rows that were successfully sent in the first pass are marked "Sent" in the ReadyToSend column. The macro automatically skips these.</t>
  </si>
  <si>
    <t xml:space="preserve">    Rows that failed are marked "Error." To retry them:</t>
  </si>
  <si>
    <t xml:space="preserve">        - Check the ErrorLog tab to see what went wrong.</t>
  </si>
  <si>
    <t xml:space="preserve">        - Fix the issue (in SourceData, Config, or the file system, depending on the error).</t>
  </si>
  <si>
    <t xml:space="preserve">        - Change the ReadyToSend value back to Y for the rows you want to retry.</t>
  </si>
  <si>
    <t xml:space="preserve">        - Run the macro again. It will only process rows marked Y — previously sent rows will not be sent again.</t>
  </si>
  <si>
    <t xml:space="preserve">        - You can repeat this process as many times as needed.</t>
  </si>
  <si>
    <t xml:space="preserve">    Placeholder not being replaced: Outlook sometimes inserts invisible formatting tags inside placeholders. Delete the placeholder text in the .oft template and retype it in one go without clicking in the middle of it. Save the template and try again.</t>
  </si>
  <si>
    <t xml:space="preserve">    Macro options not appearing: Make sure you saved the workbook as .xlsm (macro-enabled). If you saved as .xlsx, the macros were removed.</t>
  </si>
  <si>
    <t>C:\Path\To\Original Split PDFs</t>
  </si>
  <si>
    <t>C:\Path\To\Renamed PDFs</t>
  </si>
  <si>
    <t>C:\Path\To\sample_email_template.oft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</si>
</sst>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sz val="20"/>
      <color theme="1"/>
      <name val="Arial"/>
      <family val="2"/>
    </font>
    <font>
      <sz val="12"/>
      <color theme="1"/>
      <name val="Arial"/>
      <family val="2"/>
    </font>
    <font>
      <b/>
      <sz val="12"/>
      <color theme="1"/>
      <name val="Arial"/>
      <family val="2"/>
    </font>
    <font>
      <b/>
      <sz val="12"/>
      <color theme="0"/>
      <name val="Arial"/>
      <family val="2"/>
    </font>
    <font>
      <b/>
      <sz val="12"/>
      <color rgb="FFFF0000"/>
      <name val="Arial"/>
      <family val="2"/>
    </font>
    <font>
      <b/>
      <sz val="11"/>
      <name val="Calibri"/>
      <family val="2"/>
    </font>
    <font>
      <sz val="11"/>
      <name val="Calibri"/>
      <family val="2"/>
    </font>
  </fonts>
  <fills count="7">
    <fill>
      <patternFill patternType="none"/>
    </fill>
    <fill>
      <patternFill patternType="gray125"/>
    </fill>
    <fill>
      <patternFill patternType="solid">
        <fgColor theme="4"/>
        <bgColor theme="4"/>
      </patternFill>
    </fill>
    <fill>
      <patternFill patternType="solid">
        <fgColor rgb="FFC6EFCE"/>
      </patternFill>
    </fill>
    <fill>
      <patternFill patternType="solid">
        <fgColor rgb="FFFFFF00"/>
      </patternFill>
    </fill>
    <fill>
      <patternFill patternType="solid">
        <fgColor rgb="FFFFFFFF"/>
      </patternFill>
    </fill>
    <fill>
      <patternFill patternType="solid">
        <fgColor rgb="FFBDD7EE"/>
      </patternFill>
    </fill>
  </fills>
  <borders count="3">
    <border>
      <left/>
      <right/>
      <top/>
      <bottom/>
      <diagonal/>
    </border>
    <border>
      <left/>
      <right/>
      <top/>
      <bottom style="thin">
        <color theme="4" tint="0.39997558519241921"/>
      </bottom>
      <diagonal/>
    </border>
    <border>
      <left/>
      <right style="thin">
        <color theme="4" tint="0.39997558519241921"/>
      </right>
      <top/>
      <bottom style="thin">
        <color theme="4" tint="0.39997558519241921"/>
      </bottom>
      <diagonal/>
    </border>
  </borders>
  <cellStyleXfs count="1">
    <xf numFmtId="0" fontId="0" fillId="0" borderId="0"/>
  </cellStyleXfs>
  <cellXfs count="13">
    <xf numFmtId="0" fontId="0" fillId="0" borderId="0" xfId="0"/>
    <xf numFmtId="0" fontId="1" fillId="0" borderId="0" xfId="0" applyFont="1"/>
    <xf numFmtId="0" fontId="2" fillId="0" borderId="0" xfId="0" applyFont="1"/>
    <xf numFmtId="0" fontId="3" fillId="0" borderId="0" xfId="0" applyFont="1" applyAlignment="1">
      <alignment horizontal="center" vertical="center" wrapText="1"/>
    </xf>
    <xf numFmtId="0" fontId="2" fillId="0" borderId="0" xfId="0" applyFont="1" applyAlignment="1">
      <alignment vertical="center" wrapText="1"/>
    </xf>
    <xf numFmtId="0" fontId="5" fillId="0" borderId="0" xfId="0" applyFont="1"/>
    <xf numFmtId="0" fontId="4" fillId="2" borderId="1" xfId="0" applyFont="1" applyFill="1" applyBorder="1"/>
    <xf numFmtId="0" fontId="4" fillId="2" borderId="2" xfId="0" applyFont="1" applyFill="1" applyBorder="1"/>
    <xf numFmtId="0" fontId="2" fillId="0" borderId="0" xfId="0" applyFont="1" applyAlignment="1">
      <alignment horizontal="center"/>
    </xf>
    <xf numFmtId="0" fontId="6" fillId="3" borderId="0" xfId="0" applyFont="1" applyFill="1" applyAlignment="1">
      <alignment vertical="center" wrapText="1"/>
    </xf>
    <xf numFmtId="0" fontId="7" fillId="5" borderId="0" xfId="0" applyFont="1" applyFill="1" applyAlignment="1">
      <alignment vertical="center" wrapText="1"/>
    </xf>
    <xf numFmtId="0" fontId="7" fillId="4" borderId="0" xfId="0" applyFont="1" applyFill="1" applyAlignment="1">
      <alignment vertical="center" wrapText="1"/>
    </xf>
    <xf numFmtId="0" fontId="7" fillId="6" borderId="0" xfId="0" applyFont="1" applyFill="1" applyAlignment="1">
      <alignment vertical="center" wrapText="1"/>
    </xf>
  </cellXfs>
  <cellStyles count="1">
    <cellStyle name="Normal" xfId="0" builtinId="0"/>
  </cellStyles>
  <dxfs count="17">
    <dxf>
      <font>
        <strike val="0"/>
        <outline val="0"/>
        <shadow val="0"/>
        <u val="none"/>
        <vertAlign val="baseline"/>
        <sz val="12"/>
        <color theme="1"/>
        <name val="Arial"/>
        <family val="2"/>
        <scheme val="none"/>
      </font>
      <numFmt numFmtId="0" formatCode="General"/>
      <alignment horizontal="general" vertical="center" textRotation="0" wrapText="1" indent="0" justifyLastLine="0" shrinkToFit="0" readingOrder="0"/>
    </dxf>
    <dxf>
      <font>
        <strike val="0"/>
        <outline val="0"/>
        <shadow val="0"/>
        <u val="none"/>
        <vertAlign val="baseline"/>
        <sz val="12"/>
        <color theme="1"/>
        <name val="Arial"/>
        <family val="2"/>
        <scheme val="none"/>
      </font>
      <alignment horizontal="general" vertical="center" textRotation="0" wrapText="1" indent="0" justifyLastLine="0" shrinkToFit="0" readingOrder="0"/>
    </dxf>
    <dxf>
      <font>
        <strike val="0"/>
        <outline val="0"/>
        <shadow val="0"/>
        <u val="none"/>
        <vertAlign val="baseline"/>
        <sz val="12"/>
        <color theme="1"/>
        <name val="Arial"/>
        <family val="2"/>
        <scheme val="none"/>
      </font>
      <alignment horizontal="general" vertical="center" textRotation="0" wrapText="1" indent="0" justifyLastLine="0" shrinkToFit="0" readingOrder="0"/>
    </dxf>
    <dxf>
      <font>
        <strike val="0"/>
        <outline val="0"/>
        <shadow val="0"/>
        <u val="none"/>
        <vertAlign val="baseline"/>
        <sz val="12"/>
        <color theme="1"/>
        <name val="Arial"/>
        <family val="2"/>
        <scheme val="none"/>
      </font>
      <alignment horizontal="general" vertical="center" textRotation="0" wrapText="1" indent="0" justifyLastLine="0" shrinkToFit="0" readingOrder="0"/>
    </dxf>
    <dxf>
      <font>
        <strike val="0"/>
        <outline val="0"/>
        <shadow val="0"/>
        <u val="none"/>
        <vertAlign val="baseline"/>
        <sz val="12"/>
        <color theme="1"/>
        <name val="Arial"/>
        <family val="2"/>
        <scheme val="none"/>
      </font>
      <alignment horizontal="general" vertical="center" textRotation="0" wrapText="1" indent="0" justifyLastLine="0" shrinkToFit="0" readingOrder="0"/>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dxf>
    <dxf>
      <font>
        <strike val="0"/>
        <outline val="0"/>
        <shadow val="0"/>
        <u val="none"/>
        <vertAlign val="baseline"/>
        <sz val="12"/>
        <color theme="1"/>
        <name val="Arial"/>
        <family val="2"/>
        <scheme val="none"/>
      </font>
    </dxf>
    <dxf>
      <font>
        <strike val="0"/>
        <outline val="0"/>
        <shadow val="0"/>
        <u val="none"/>
        <vertAlign val="baseline"/>
        <sz val="12"/>
        <color theme="1"/>
        <name val="Arial"/>
        <family val="2"/>
        <scheme val="none"/>
      </font>
    </dxf>
    <dxf>
      <font>
        <strike val="0"/>
        <outline val="0"/>
        <shadow val="0"/>
        <u val="none"/>
        <vertAlign val="baseline"/>
        <sz val="12"/>
        <color theme="1"/>
        <name val="Arial"/>
        <family val="2"/>
        <scheme val="none"/>
      </font>
    </dxf>
    <dxf>
      <font>
        <strike val="0"/>
        <outline val="0"/>
        <shadow val="0"/>
        <u val="none"/>
        <vertAlign val="baseline"/>
        <sz val="12"/>
        <color theme="1"/>
        <name val="Arial"/>
        <family val="2"/>
        <scheme val="none"/>
      </font>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64940C0-F642-436D-8470-C002B24445BC}" name="tbl_DataSource" displayName="tbl_DataSource" ref="A5:G6" insertRow="1" totalsRowShown="0" headerRowDxfId="12" headerRowBorderDxfId="11" tableBorderDxfId="10">
  <autoFilter ref="A5:G6" xr:uid="{564940C0-F642-436D-8470-C002B24445BC}"/>
  <tableColumns count="7">
    <tableColumn id="2" xr3:uid="{9A27A696-A582-4028-B2B0-AE1C48026FF4}" name="LEAName"/>
    <tableColumn id="3" xr3:uid="{E4369E57-7CE6-420B-B930-558076807753}" name="ToEmail"/>
    <tableColumn id="7" xr3:uid="{27AF0B83-BFE1-49EA-B367-9C4C8AF84649}" name="CCEmail1"/>
    <tableColumn id="8" xr3:uid="{825BC638-88F1-4BA6-8A54-EED3135C471A}" name="CCEmail2"/>
    <tableColumn id="4" xr3:uid="{3CDC08C6-5B32-4D2F-BA97-5489F818E207}" name="Title"/>
    <tableColumn id="5" xr3:uid="{A2371F2B-B873-47F4-B0EF-4A0A1CB4DC7B}" name="LastName"/>
    <tableColumn id="6" xr3:uid="{ED4FE574-0C26-4BAE-876C-33E8E2D459A5}" name="FirstNam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FF8D56A-8B2D-4786-AE92-6BE662D03D93}" name="tbl_Config" displayName="tbl_Config" ref="A2:B15" totalsRowShown="0">
  <autoFilter ref="A2:B15" xr:uid="{7FF8D56A-8B2D-4786-AE92-6BE662D03D93}"/>
  <tableColumns count="2">
    <tableColumn id="1" xr3:uid="{B3EC7C1A-C571-4CC0-B771-55A52BEA9E93}" name="Setting"/>
    <tableColumn id="2" xr3:uid="{7F02EC7A-A011-4183-9867-3DF5D9A971C5}" name="Valu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7764620-4357-49F1-93DE-2E2597B19DD7}" name="tbl_GeneralInfo" displayName="tbl_GeneralInfo" ref="A2:B6" totalsRowShown="0" headerRowDxfId="9" dataDxfId="8">
  <autoFilter ref="A2:B6" xr:uid="{A7764620-4357-49F1-93DE-2E2597B19DD7}"/>
  <tableColumns count="2">
    <tableColumn id="1" xr3:uid="{209CEDEF-CD1F-41C4-8C56-F0E91DF8DDF6}" name="Reference" dataDxfId="7"/>
    <tableColumn id="2" xr3:uid="{9A7AB79D-770B-45C7-B7D5-933BE1908985}" name="Associated Data" dataDxfId="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85E397E-04C5-4AC9-ABC5-750B540D9D94}" name="tbl_ErrorMeanings" displayName="tbl_ErrorMeanings" ref="A9:D30" totalsRowShown="0" headerRowDxfId="5" dataDxfId="4">
  <autoFilter ref="A9:D30" xr:uid="{385E397E-04C5-4AC9-ABC5-750B540D9D94}"/>
  <sortState xmlns:xlrd2="http://schemas.microsoft.com/office/spreadsheetml/2017/richdata2" ref="A10:D30">
    <sortCondition ref="A9:A30"/>
  </sortState>
  <tableColumns count="4">
    <tableColumn id="1" xr3:uid="{7702E97E-983F-40AE-99AD-E11910BF9D2F}" name="ErrorMessage" dataDxfId="3"/>
    <tableColumn id="2" xr3:uid="{19ECC87D-1C83-4659-95E2-84BB0C4C5467}" name="Meaning" dataDxfId="2"/>
    <tableColumn id="3" xr3:uid="{24BBCBC8-5C1A-4729-9DDA-83AFA73AFB2B}" name="Fix" dataDxfId="1"/>
    <tableColumn id="4" xr3:uid="{413A7897-CE8D-44C8-8A61-BE620C14A74D}" name="ErrorMessage | Meaning | Fix" dataDxfId="0">
      <calculatedColumnFormula>tbl_ErrorMeanings[[#This Row],[ErrorMessage]]&amp;" | "&amp;tbl_ErrorMeanings[[#This Row],[Meaning]]&amp;" | "&amp;tbl_ErrorMeanings[[#This Row],[Fix]]</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4FCE878-4CBE-4268-B47B-9B7D8E603FF0}" name="tbl_ErrorLog" displayName="tbl_ErrorLog" ref="A1:J2" totalsRowShown="0">
  <autoFilter ref="A1:J2" xr:uid="{84FCE878-4CBE-4268-B47B-9B7D8E603FF0}"/>
  <tableColumns count="10">
    <tableColumn id="1" xr3:uid="{647A989B-537E-4CD8-B642-C58BDAAB06D9}" name="Timestamp"/>
    <tableColumn id="2" xr3:uid="{EE2E82F9-CD24-4379-B459-EF67AD37145D}" name="ErrorOccurredDuring"/>
    <tableColumn id="3" xr3:uid="{A6B65A49-CD15-480C-9B10-47994CDAFEDD}" name="DataRow"/>
    <tableColumn id="4" xr3:uid="{DE1B281A-230E-40E6-8969-F962F10C4232}" name="LEAName"/>
    <tableColumn id="5" xr3:uid="{BDE83F2E-BE8B-4452-BE54-54FC2B5792C2}" name="ErrorMessage"/>
    <tableColumn id="6" xr3:uid="{EC451736-EC60-477E-9DD8-242079512126}" name="ToEmail"/>
    <tableColumn id="7" xr3:uid="{BC03905E-2572-45F8-ABE1-C0B4DFC994E4}" name="CCEmail1"/>
    <tableColumn id="8" xr3:uid="{4C22A34F-80D9-40EA-9741-CBAB2F7D9EBB}" name="CCEmail2"/>
    <tableColumn id="9" xr3:uid="{16636AFF-77EC-4377-A90E-B9D341EA3B48}" name="Meaning">
      <calculatedColumnFormula>_xlfn.XLOOKUP(tbl_ErrorLog[[#This Row],[ErrorMessage]],tbl_ErrorMeanings[ErrorMessage],tbl_ErrorMeanings[Meaning],"")</calculatedColumnFormula>
    </tableColumn>
    <tableColumn id="10" xr3:uid="{56501D03-BCB8-46A4-B0DA-63D40BD68646}" name="Fix">
      <calculatedColumnFormula>_xlfn.XLOOKUP(tbl_ErrorLog[[#This Row],[ErrorMessage]],tbl_ErrorMeanings[ErrorMessage],tbl_ErrorMeanings[Fix],"")</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0A484-D79A-4A63-A732-C031EFEB364A}">
  <sheetPr codeName="Sheet1"/>
  <dimension ref="A1:A199"/>
  <sheetViews>
    <sheetView showGridLines="0" tabSelected="1" workbookViewId="0"/>
  </sheetViews>
  <sheetFormatPr defaultRowHeight="15" x14ac:dyDescent="0.25"/>
  <cols>
    <col min="1" max="1" width="150" customWidth="1"/>
  </cols>
  <sheetData>
    <row r="1" spans="1:1" x14ac:dyDescent="0.25">
      <c r="A1" s="9" t="s">
        <v>114</v>
      </c>
    </row>
    <row r="2" spans="1:1" x14ac:dyDescent="0.25">
      <c r="A2" s="10" t="s">
        <v>231</v>
      </c>
    </row>
    <row r="3" spans="1:1" x14ac:dyDescent="0.25">
      <c r="A3" s="10" t="s">
        <v>115</v>
      </c>
    </row>
    <row r="4" spans="1:1" x14ac:dyDescent="0.25">
      <c r="A4" s="11" t="s">
        <v>116</v>
      </c>
    </row>
    <row r="5" spans="1:1" x14ac:dyDescent="0.25">
      <c r="A5" s="10"/>
    </row>
    <row r="6" spans="1:1" x14ac:dyDescent="0.25">
      <c r="A6" s="9" t="s">
        <v>117</v>
      </c>
    </row>
    <row r="7" spans="1:1" x14ac:dyDescent="0.25">
      <c r="A7" s="10" t="s">
        <v>118</v>
      </c>
    </row>
    <row r="8" spans="1:1" x14ac:dyDescent="0.25">
      <c r="A8" s="10" t="s">
        <v>119</v>
      </c>
    </row>
    <row r="9" spans="1:1" x14ac:dyDescent="0.25">
      <c r="A9" s="10" t="s">
        <v>120</v>
      </c>
    </row>
    <row r="10" spans="1:1" x14ac:dyDescent="0.25">
      <c r="A10" s="10" t="s">
        <v>121</v>
      </c>
    </row>
    <row r="11" spans="1:1" x14ac:dyDescent="0.25">
      <c r="A11" s="10" t="s">
        <v>122</v>
      </c>
    </row>
    <row r="12" spans="1:1" x14ac:dyDescent="0.25">
      <c r="A12" s="10" t="s">
        <v>123</v>
      </c>
    </row>
    <row r="13" spans="1:1" x14ac:dyDescent="0.25">
      <c r="A13" s="10"/>
    </row>
    <row r="14" spans="1:1" x14ac:dyDescent="0.25">
      <c r="A14" s="9" t="s">
        <v>124</v>
      </c>
    </row>
    <row r="15" spans="1:1" x14ac:dyDescent="0.25">
      <c r="A15" s="10" t="s">
        <v>125</v>
      </c>
    </row>
    <row r="16" spans="1:1" x14ac:dyDescent="0.25">
      <c r="A16" s="10" t="s">
        <v>126</v>
      </c>
    </row>
    <row r="17" spans="1:1" x14ac:dyDescent="0.25">
      <c r="A17" s="10"/>
    </row>
    <row r="18" spans="1:1" x14ac:dyDescent="0.25">
      <c r="A18" s="12" t="s">
        <v>127</v>
      </c>
    </row>
    <row r="19" spans="1:1" x14ac:dyDescent="0.25">
      <c r="A19" s="10" t="s">
        <v>128</v>
      </c>
    </row>
    <row r="20" spans="1:1" x14ac:dyDescent="0.25">
      <c r="A20" s="10" t="s">
        <v>129</v>
      </c>
    </row>
    <row r="21" spans="1:1" x14ac:dyDescent="0.25">
      <c r="A21" s="10" t="s">
        <v>130</v>
      </c>
    </row>
    <row r="22" spans="1:1" x14ac:dyDescent="0.25">
      <c r="A22" s="10" t="s">
        <v>131</v>
      </c>
    </row>
    <row r="23" spans="1:1" x14ac:dyDescent="0.25">
      <c r="A23" s="10" t="s">
        <v>234</v>
      </c>
    </row>
    <row r="24" spans="1:1" x14ac:dyDescent="0.25">
      <c r="A24" s="10" t="s">
        <v>235</v>
      </c>
    </row>
    <row r="25" spans="1:1" x14ac:dyDescent="0.25">
      <c r="A25" s="10"/>
    </row>
    <row r="26" spans="1:1" x14ac:dyDescent="0.25">
      <c r="A26" s="12" t="s">
        <v>132</v>
      </c>
    </row>
    <row r="27" spans="1:1" x14ac:dyDescent="0.25">
      <c r="A27" s="10" t="s">
        <v>133</v>
      </c>
    </row>
    <row r="28" spans="1:1" x14ac:dyDescent="0.25">
      <c r="A28" s="11" t="s">
        <v>236</v>
      </c>
    </row>
    <row r="29" spans="1:1" x14ac:dyDescent="0.25">
      <c r="A29" s="10" t="s">
        <v>134</v>
      </c>
    </row>
    <row r="30" spans="1:1" x14ac:dyDescent="0.25">
      <c r="A30" s="10" t="s">
        <v>237</v>
      </c>
    </row>
    <row r="31" spans="1:1" x14ac:dyDescent="0.25">
      <c r="A31" s="10"/>
    </row>
    <row r="32" spans="1:1" x14ac:dyDescent="0.25">
      <c r="A32" s="12" t="s">
        <v>258</v>
      </c>
    </row>
    <row r="33" spans="1:1" x14ac:dyDescent="0.25">
      <c r="A33" s="10" t="s">
        <v>135</v>
      </c>
    </row>
    <row r="34" spans="1:1" x14ac:dyDescent="0.25">
      <c r="A34" s="10" t="s">
        <v>136</v>
      </c>
    </row>
    <row r="35" spans="1:1" x14ac:dyDescent="0.25">
      <c r="A35" s="10" t="s">
        <v>259</v>
      </c>
    </row>
    <row r="36" spans="1:1" x14ac:dyDescent="0.25">
      <c r="A36" s="10" t="s">
        <v>260</v>
      </c>
    </row>
    <row r="37" spans="1:1" x14ac:dyDescent="0.25">
      <c r="A37" s="10"/>
    </row>
    <row r="38" spans="1:1" x14ac:dyDescent="0.25">
      <c r="A38" s="12" t="s">
        <v>137</v>
      </c>
    </row>
    <row r="39" spans="1:1" x14ac:dyDescent="0.25">
      <c r="A39" s="10" t="s">
        <v>138</v>
      </c>
    </row>
    <row r="40" spans="1:1" x14ac:dyDescent="0.25">
      <c r="A40" s="10" t="s">
        <v>261</v>
      </c>
    </row>
    <row r="41" spans="1:1" x14ac:dyDescent="0.25">
      <c r="A41" s="10" t="s">
        <v>139</v>
      </c>
    </row>
    <row r="42" spans="1:1" x14ac:dyDescent="0.25">
      <c r="A42" s="10" t="s">
        <v>140</v>
      </c>
    </row>
    <row r="43" spans="1:1" x14ac:dyDescent="0.25">
      <c r="A43" s="10" t="s">
        <v>262</v>
      </c>
    </row>
    <row r="44" spans="1:1" x14ac:dyDescent="0.25">
      <c r="A44" s="10" t="s">
        <v>263</v>
      </c>
    </row>
    <row r="45" spans="1:1" x14ac:dyDescent="0.25">
      <c r="A45" s="10"/>
    </row>
    <row r="46" spans="1:1" x14ac:dyDescent="0.25">
      <c r="A46" s="12" t="s">
        <v>141</v>
      </c>
    </row>
    <row r="47" spans="1:1" x14ac:dyDescent="0.25">
      <c r="A47" s="10" t="s">
        <v>142</v>
      </c>
    </row>
    <row r="48" spans="1:1" x14ac:dyDescent="0.25">
      <c r="A48" s="10" t="s">
        <v>143</v>
      </c>
    </row>
    <row r="49" spans="1:1" x14ac:dyDescent="0.25">
      <c r="A49" s="10"/>
    </row>
    <row r="50" spans="1:1" x14ac:dyDescent="0.25">
      <c r="A50" s="9" t="s">
        <v>144</v>
      </c>
    </row>
    <row r="51" spans="1:1" x14ac:dyDescent="0.25">
      <c r="A51" s="10" t="s">
        <v>145</v>
      </c>
    </row>
    <row r="52" spans="1:1" x14ac:dyDescent="0.25">
      <c r="A52" s="10" t="s">
        <v>146</v>
      </c>
    </row>
    <row r="53" spans="1:1" x14ac:dyDescent="0.25">
      <c r="A53" s="10" t="s">
        <v>147</v>
      </c>
    </row>
    <row r="54" spans="1:1" x14ac:dyDescent="0.25">
      <c r="A54" s="10" t="s">
        <v>148</v>
      </c>
    </row>
    <row r="55" spans="1:1" x14ac:dyDescent="0.25">
      <c r="A55" s="10" t="s">
        <v>149</v>
      </c>
    </row>
    <row r="56" spans="1:1" x14ac:dyDescent="0.25">
      <c r="A56" s="10" t="s">
        <v>150</v>
      </c>
    </row>
    <row r="57" spans="1:1" x14ac:dyDescent="0.25">
      <c r="A57" s="10" t="s">
        <v>151</v>
      </c>
    </row>
    <row r="58" spans="1:1" x14ac:dyDescent="0.25">
      <c r="A58" s="10" t="s">
        <v>152</v>
      </c>
    </row>
    <row r="59" spans="1:1" ht="30" x14ac:dyDescent="0.25">
      <c r="A59" s="11" t="s">
        <v>264</v>
      </c>
    </row>
    <row r="60" spans="1:1" x14ac:dyDescent="0.25">
      <c r="A60" s="10" t="s">
        <v>153</v>
      </c>
    </row>
    <row r="61" spans="1:1" x14ac:dyDescent="0.25">
      <c r="A61" s="10" t="s">
        <v>154</v>
      </c>
    </row>
    <row r="62" spans="1:1" x14ac:dyDescent="0.25">
      <c r="A62" s="10" t="s">
        <v>155</v>
      </c>
    </row>
    <row r="63" spans="1:1" x14ac:dyDescent="0.25">
      <c r="A63" s="10" t="s">
        <v>156</v>
      </c>
    </row>
    <row r="64" spans="1:1" x14ac:dyDescent="0.25">
      <c r="A64" s="10"/>
    </row>
    <row r="65" spans="1:1" x14ac:dyDescent="0.25">
      <c r="A65" s="9" t="s">
        <v>157</v>
      </c>
    </row>
    <row r="66" spans="1:1" x14ac:dyDescent="0.25">
      <c r="A66" s="10" t="s">
        <v>158</v>
      </c>
    </row>
    <row r="67" spans="1:1" x14ac:dyDescent="0.25">
      <c r="A67" s="10" t="s">
        <v>159</v>
      </c>
    </row>
    <row r="68" spans="1:1" x14ac:dyDescent="0.25">
      <c r="A68" s="10" t="s">
        <v>265</v>
      </c>
    </row>
    <row r="69" spans="1:1" x14ac:dyDescent="0.25">
      <c r="A69" s="10" t="s">
        <v>160</v>
      </c>
    </row>
    <row r="70" spans="1:1" x14ac:dyDescent="0.25">
      <c r="A70" s="10" t="s">
        <v>161</v>
      </c>
    </row>
    <row r="71" spans="1:1" x14ac:dyDescent="0.25">
      <c r="A71" s="10" t="s">
        <v>162</v>
      </c>
    </row>
    <row r="72" spans="1:1" x14ac:dyDescent="0.25">
      <c r="A72" s="10" t="s">
        <v>266</v>
      </c>
    </row>
    <row r="73" spans="1:1" x14ac:dyDescent="0.25">
      <c r="A73" s="10" t="s">
        <v>267</v>
      </c>
    </row>
    <row r="74" spans="1:1" x14ac:dyDescent="0.25">
      <c r="A74" s="10" t="s">
        <v>163</v>
      </c>
    </row>
    <row r="75" spans="1:1" x14ac:dyDescent="0.25">
      <c r="A75" s="10" t="s">
        <v>164</v>
      </c>
    </row>
    <row r="76" spans="1:1" x14ac:dyDescent="0.25">
      <c r="A76" s="10" t="s">
        <v>165</v>
      </c>
    </row>
    <row r="77" spans="1:1" x14ac:dyDescent="0.25">
      <c r="A77" s="11" t="s">
        <v>166</v>
      </c>
    </row>
    <row r="78" spans="1:1" x14ac:dyDescent="0.25">
      <c r="A78" s="10"/>
    </row>
    <row r="79" spans="1:1" x14ac:dyDescent="0.25">
      <c r="A79" s="9" t="s">
        <v>167</v>
      </c>
    </row>
    <row r="80" spans="1:1" x14ac:dyDescent="0.25">
      <c r="A80" s="10" t="s">
        <v>238</v>
      </c>
    </row>
    <row r="81" spans="1:1" x14ac:dyDescent="0.25">
      <c r="A81" s="10" t="s">
        <v>253</v>
      </c>
    </row>
    <row r="82" spans="1:1" x14ac:dyDescent="0.25">
      <c r="A82" s="10" t="s">
        <v>268</v>
      </c>
    </row>
    <row r="83" spans="1:1" x14ac:dyDescent="0.25">
      <c r="A83" s="10" t="s">
        <v>269</v>
      </c>
    </row>
    <row r="84" spans="1:1" x14ac:dyDescent="0.25">
      <c r="A84" s="10" t="s">
        <v>270</v>
      </c>
    </row>
    <row r="85" spans="1:1" x14ac:dyDescent="0.25">
      <c r="A85" s="10" t="s">
        <v>252</v>
      </c>
    </row>
    <row r="86" spans="1:1" x14ac:dyDescent="0.25">
      <c r="A86" s="10" t="s">
        <v>168</v>
      </c>
    </row>
    <row r="87" spans="1:1" x14ac:dyDescent="0.25">
      <c r="A87" s="11" t="s">
        <v>271</v>
      </c>
    </row>
    <row r="88" spans="1:1" x14ac:dyDescent="0.25">
      <c r="A88" s="10" t="s">
        <v>272</v>
      </c>
    </row>
    <row r="89" spans="1:1" x14ac:dyDescent="0.25">
      <c r="A89" s="10" t="s">
        <v>250</v>
      </c>
    </row>
    <row r="90" spans="1:1" x14ac:dyDescent="0.25">
      <c r="A90" s="10" t="s">
        <v>273</v>
      </c>
    </row>
    <row r="91" spans="1:1" x14ac:dyDescent="0.25">
      <c r="A91" s="10" t="s">
        <v>251</v>
      </c>
    </row>
    <row r="92" spans="1:1" x14ac:dyDescent="0.25">
      <c r="A92" s="10" t="s">
        <v>274</v>
      </c>
    </row>
    <row r="93" spans="1:1" x14ac:dyDescent="0.25">
      <c r="A93" s="11" t="s">
        <v>275</v>
      </c>
    </row>
    <row r="94" spans="1:1" x14ac:dyDescent="0.25">
      <c r="A94" s="10" t="s">
        <v>276</v>
      </c>
    </row>
    <row r="95" spans="1:1" x14ac:dyDescent="0.25">
      <c r="A95" s="10" t="s">
        <v>277</v>
      </c>
    </row>
    <row r="96" spans="1:1" x14ac:dyDescent="0.25">
      <c r="A96" s="10"/>
    </row>
    <row r="97" spans="1:1" x14ac:dyDescent="0.25">
      <c r="A97" s="9" t="s">
        <v>169</v>
      </c>
    </row>
    <row r="98" spans="1:1" x14ac:dyDescent="0.25">
      <c r="A98" s="10" t="s">
        <v>239</v>
      </c>
    </row>
    <row r="99" spans="1:1" x14ac:dyDescent="0.25">
      <c r="A99" s="10" t="s">
        <v>170</v>
      </c>
    </row>
    <row r="100" spans="1:1" x14ac:dyDescent="0.25">
      <c r="A100" s="10" t="s">
        <v>171</v>
      </c>
    </row>
    <row r="101" spans="1:1" x14ac:dyDescent="0.25">
      <c r="A101" s="10" t="s">
        <v>240</v>
      </c>
    </row>
    <row r="102" spans="1:1" x14ac:dyDescent="0.25">
      <c r="A102" s="10" t="s">
        <v>172</v>
      </c>
    </row>
    <row r="103" spans="1:1" x14ac:dyDescent="0.25">
      <c r="A103" s="10" t="s">
        <v>173</v>
      </c>
    </row>
    <row r="104" spans="1:1" x14ac:dyDescent="0.25">
      <c r="A104" s="10" t="s">
        <v>174</v>
      </c>
    </row>
    <row r="105" spans="1:1" x14ac:dyDescent="0.25">
      <c r="A105" s="10" t="s">
        <v>175</v>
      </c>
    </row>
    <row r="106" spans="1:1" x14ac:dyDescent="0.25">
      <c r="A106" s="10" t="s">
        <v>176</v>
      </c>
    </row>
    <row r="107" spans="1:1" x14ac:dyDescent="0.25">
      <c r="A107" s="10" t="s">
        <v>177</v>
      </c>
    </row>
    <row r="108" spans="1:1" x14ac:dyDescent="0.25">
      <c r="A108" s="10" t="s">
        <v>178</v>
      </c>
    </row>
    <row r="109" spans="1:1" x14ac:dyDescent="0.25">
      <c r="A109" s="10" t="s">
        <v>179</v>
      </c>
    </row>
    <row r="110" spans="1:1" x14ac:dyDescent="0.25">
      <c r="A110" s="10" t="s">
        <v>180</v>
      </c>
    </row>
    <row r="111" spans="1:1" x14ac:dyDescent="0.25">
      <c r="A111" s="10" t="s">
        <v>181</v>
      </c>
    </row>
    <row r="112" spans="1:1" x14ac:dyDescent="0.25">
      <c r="A112" s="10"/>
    </row>
    <row r="113" spans="1:1" x14ac:dyDescent="0.25">
      <c r="A113" s="9" t="s">
        <v>182</v>
      </c>
    </row>
    <row r="114" spans="1:1" x14ac:dyDescent="0.25">
      <c r="A114" s="10" t="s">
        <v>183</v>
      </c>
    </row>
    <row r="115" spans="1:1" x14ac:dyDescent="0.25">
      <c r="A115" s="10" t="s">
        <v>184</v>
      </c>
    </row>
    <row r="116" spans="1:1" x14ac:dyDescent="0.25">
      <c r="A116" s="10" t="s">
        <v>185</v>
      </c>
    </row>
    <row r="117" spans="1:1" x14ac:dyDescent="0.25">
      <c r="A117" s="10" t="s">
        <v>242</v>
      </c>
    </row>
    <row r="118" spans="1:1" x14ac:dyDescent="0.25">
      <c r="A118" s="10" t="s">
        <v>186</v>
      </c>
    </row>
    <row r="119" spans="1:1" x14ac:dyDescent="0.25">
      <c r="A119" s="10" t="s">
        <v>187</v>
      </c>
    </row>
    <row r="120" spans="1:1" x14ac:dyDescent="0.25">
      <c r="A120" s="10" t="s">
        <v>278</v>
      </c>
    </row>
    <row r="121" spans="1:1" x14ac:dyDescent="0.25">
      <c r="A121" s="10" t="s">
        <v>188</v>
      </c>
    </row>
    <row r="122" spans="1:1" x14ac:dyDescent="0.25">
      <c r="A122" s="10" t="s">
        <v>189</v>
      </c>
    </row>
    <row r="123" spans="1:1" x14ac:dyDescent="0.25">
      <c r="A123" s="10"/>
    </row>
    <row r="124" spans="1:1" x14ac:dyDescent="0.25">
      <c r="A124" s="9" t="s">
        <v>190</v>
      </c>
    </row>
    <row r="125" spans="1:1" x14ac:dyDescent="0.25">
      <c r="A125" s="10" t="s">
        <v>191</v>
      </c>
    </row>
    <row r="126" spans="1:1" x14ac:dyDescent="0.25">
      <c r="A126" s="10" t="s">
        <v>192</v>
      </c>
    </row>
    <row r="127" spans="1:1" x14ac:dyDescent="0.25">
      <c r="A127" s="10" t="s">
        <v>241</v>
      </c>
    </row>
    <row r="128" spans="1:1" x14ac:dyDescent="0.25">
      <c r="A128" s="10" t="s">
        <v>193</v>
      </c>
    </row>
    <row r="129" spans="1:1" x14ac:dyDescent="0.25">
      <c r="A129" s="10"/>
    </row>
    <row r="130" spans="1:1" x14ac:dyDescent="0.25">
      <c r="A130" s="12" t="s">
        <v>279</v>
      </c>
    </row>
    <row r="131" spans="1:1" x14ac:dyDescent="0.25">
      <c r="A131" s="10" t="s">
        <v>280</v>
      </c>
    </row>
    <row r="132" spans="1:1" x14ac:dyDescent="0.25">
      <c r="A132" s="10" t="s">
        <v>281</v>
      </c>
    </row>
    <row r="133" spans="1:1" x14ac:dyDescent="0.25">
      <c r="A133" s="10" t="s">
        <v>282</v>
      </c>
    </row>
    <row r="134" spans="1:1" x14ac:dyDescent="0.25">
      <c r="A134" s="10" t="s">
        <v>283</v>
      </c>
    </row>
    <row r="135" spans="1:1" x14ac:dyDescent="0.25">
      <c r="A135" s="10"/>
    </row>
    <row r="136" spans="1:1" x14ac:dyDescent="0.25">
      <c r="A136" s="12" t="s">
        <v>194</v>
      </c>
    </row>
    <row r="137" spans="1:1" x14ac:dyDescent="0.25">
      <c r="A137" s="10" t="s">
        <v>195</v>
      </c>
    </row>
    <row r="138" spans="1:1" x14ac:dyDescent="0.25">
      <c r="A138" s="10" t="s">
        <v>196</v>
      </c>
    </row>
    <row r="139" spans="1:1" x14ac:dyDescent="0.25">
      <c r="A139" s="10" t="s">
        <v>197</v>
      </c>
    </row>
    <row r="140" spans="1:1" x14ac:dyDescent="0.25">
      <c r="A140" s="10" t="s">
        <v>198</v>
      </c>
    </row>
    <row r="141" spans="1:1" x14ac:dyDescent="0.25">
      <c r="A141" s="10" t="s">
        <v>199</v>
      </c>
    </row>
    <row r="142" spans="1:1" x14ac:dyDescent="0.25">
      <c r="A142" s="10" t="s">
        <v>200</v>
      </c>
    </row>
    <row r="143" spans="1:1" x14ac:dyDescent="0.25">
      <c r="A143" s="10"/>
    </row>
    <row r="144" spans="1:1" x14ac:dyDescent="0.25">
      <c r="A144" s="12" t="s">
        <v>201</v>
      </c>
    </row>
    <row r="145" spans="1:1" x14ac:dyDescent="0.25">
      <c r="A145" s="10" t="s">
        <v>202</v>
      </c>
    </row>
    <row r="146" spans="1:1" x14ac:dyDescent="0.25">
      <c r="A146" s="10" t="s">
        <v>203</v>
      </c>
    </row>
    <row r="147" spans="1:1" x14ac:dyDescent="0.25">
      <c r="A147" s="11" t="s">
        <v>204</v>
      </c>
    </row>
    <row r="148" spans="1:1" x14ac:dyDescent="0.25">
      <c r="A148" s="10" t="s">
        <v>205</v>
      </c>
    </row>
    <row r="149" spans="1:1" x14ac:dyDescent="0.25">
      <c r="A149" s="10" t="s">
        <v>206</v>
      </c>
    </row>
    <row r="150" spans="1:1" x14ac:dyDescent="0.25">
      <c r="A150" s="10"/>
    </row>
    <row r="151" spans="1:1" x14ac:dyDescent="0.25">
      <c r="A151" s="12" t="s">
        <v>207</v>
      </c>
    </row>
    <row r="152" spans="1:1" x14ac:dyDescent="0.25">
      <c r="A152" s="10" t="s">
        <v>208</v>
      </c>
    </row>
    <row r="153" spans="1:1" x14ac:dyDescent="0.25">
      <c r="A153" s="10" t="s">
        <v>209</v>
      </c>
    </row>
    <row r="154" spans="1:1" x14ac:dyDescent="0.25">
      <c r="A154" s="10" t="s">
        <v>210</v>
      </c>
    </row>
    <row r="155" spans="1:1" x14ac:dyDescent="0.25">
      <c r="A155" s="10" t="s">
        <v>211</v>
      </c>
    </row>
    <row r="156" spans="1:1" ht="30" x14ac:dyDescent="0.25">
      <c r="A156" s="10" t="s">
        <v>243</v>
      </c>
    </row>
    <row r="157" spans="1:1" x14ac:dyDescent="0.25">
      <c r="A157" s="10" t="s">
        <v>212</v>
      </c>
    </row>
    <row r="158" spans="1:1" x14ac:dyDescent="0.25">
      <c r="A158" s="10"/>
    </row>
    <row r="159" spans="1:1" x14ac:dyDescent="0.25">
      <c r="A159" s="12" t="s">
        <v>284</v>
      </c>
    </row>
    <row r="160" spans="1:1" ht="30" x14ac:dyDescent="0.25">
      <c r="A160" s="10" t="s">
        <v>285</v>
      </c>
    </row>
    <row r="161" spans="1:1" x14ac:dyDescent="0.25">
      <c r="A161" s="10"/>
    </row>
    <row r="162" spans="1:1" x14ac:dyDescent="0.25">
      <c r="A162" s="9" t="s">
        <v>213</v>
      </c>
    </row>
    <row r="163" spans="1:1" x14ac:dyDescent="0.25">
      <c r="A163" s="10" t="s">
        <v>214</v>
      </c>
    </row>
    <row r="164" spans="1:1" x14ac:dyDescent="0.25">
      <c r="A164" s="10" t="s">
        <v>215</v>
      </c>
    </row>
    <row r="165" spans="1:1" x14ac:dyDescent="0.25">
      <c r="A165" s="10" t="s">
        <v>216</v>
      </c>
    </row>
    <row r="166" spans="1:1" x14ac:dyDescent="0.25">
      <c r="A166" s="10" t="s">
        <v>217</v>
      </c>
    </row>
    <row r="167" spans="1:1" x14ac:dyDescent="0.25">
      <c r="A167" s="10" t="s">
        <v>218</v>
      </c>
    </row>
    <row r="168" spans="1:1" x14ac:dyDescent="0.25">
      <c r="A168" s="10" t="s">
        <v>219</v>
      </c>
    </row>
    <row r="169" spans="1:1" x14ac:dyDescent="0.25">
      <c r="A169" s="10" t="s">
        <v>220</v>
      </c>
    </row>
    <row r="170" spans="1:1" x14ac:dyDescent="0.25">
      <c r="A170" s="10" t="s">
        <v>221</v>
      </c>
    </row>
    <row r="171" spans="1:1" x14ac:dyDescent="0.25">
      <c r="A171" s="10"/>
    </row>
    <row r="172" spans="1:1" x14ac:dyDescent="0.25">
      <c r="A172" s="9" t="s">
        <v>254</v>
      </c>
    </row>
    <row r="173" spans="1:1" x14ac:dyDescent="0.25">
      <c r="A173" s="10" t="s">
        <v>286</v>
      </c>
    </row>
    <row r="174" spans="1:1" x14ac:dyDescent="0.25">
      <c r="A174" s="10" t="s">
        <v>287</v>
      </c>
    </row>
    <row r="175" spans="1:1" x14ac:dyDescent="0.25">
      <c r="A175" s="10" t="s">
        <v>288</v>
      </c>
    </row>
    <row r="176" spans="1:1" x14ac:dyDescent="0.25">
      <c r="A176" s="10" t="s">
        <v>289</v>
      </c>
    </row>
    <row r="177" spans="1:1" x14ac:dyDescent="0.25">
      <c r="A177" s="10" t="s">
        <v>290</v>
      </c>
    </row>
    <row r="178" spans="1:1" x14ac:dyDescent="0.25">
      <c r="A178" s="10" t="s">
        <v>291</v>
      </c>
    </row>
    <row r="179" spans="1:1" x14ac:dyDescent="0.25">
      <c r="A179" s="10" t="s">
        <v>292</v>
      </c>
    </row>
    <row r="180" spans="1:1" x14ac:dyDescent="0.25">
      <c r="A180" s="10"/>
    </row>
    <row r="181" spans="1:1" x14ac:dyDescent="0.25">
      <c r="A181" s="9" t="s">
        <v>222</v>
      </c>
    </row>
    <row r="182" spans="1:1" ht="30" x14ac:dyDescent="0.25">
      <c r="A182" s="10" t="s">
        <v>244</v>
      </c>
    </row>
    <row r="183" spans="1:1" x14ac:dyDescent="0.25">
      <c r="A183" s="10" t="s">
        <v>245</v>
      </c>
    </row>
    <row r="184" spans="1:1" ht="30" x14ac:dyDescent="0.25">
      <c r="A184" s="10" t="s">
        <v>246</v>
      </c>
    </row>
    <row r="185" spans="1:1" x14ac:dyDescent="0.25">
      <c r="A185" s="10" t="s">
        <v>247</v>
      </c>
    </row>
    <row r="186" spans="1:1" ht="30" x14ac:dyDescent="0.25">
      <c r="A186" s="11" t="s">
        <v>293</v>
      </c>
    </row>
    <row r="187" spans="1:1" ht="30" x14ac:dyDescent="0.25">
      <c r="A187" s="10" t="s">
        <v>248</v>
      </c>
    </row>
    <row r="188" spans="1:1" x14ac:dyDescent="0.25">
      <c r="A188" s="10" t="s">
        <v>294</v>
      </c>
    </row>
    <row r="189" spans="1:1" x14ac:dyDescent="0.25">
      <c r="A189" s="10" t="s">
        <v>249</v>
      </c>
    </row>
    <row r="190" spans="1:1" x14ac:dyDescent="0.25">
      <c r="A190" s="10" t="s">
        <v>255</v>
      </c>
    </row>
    <row r="191" spans="1:1" x14ac:dyDescent="0.25">
      <c r="A191" s="10"/>
    </row>
    <row r="192" spans="1:1" x14ac:dyDescent="0.25">
      <c r="A192" s="9" t="s">
        <v>223</v>
      </c>
    </row>
    <row r="193" spans="1:1" x14ac:dyDescent="0.25">
      <c r="A193" s="10" t="s">
        <v>224</v>
      </c>
    </row>
    <row r="194" spans="1:1" x14ac:dyDescent="0.25">
      <c r="A194" s="10" t="s">
        <v>225</v>
      </c>
    </row>
    <row r="195" spans="1:1" x14ac:dyDescent="0.25">
      <c r="A195" s="10" t="s">
        <v>226</v>
      </c>
    </row>
    <row r="196" spans="1:1" x14ac:dyDescent="0.25">
      <c r="A196" s="10" t="s">
        <v>227</v>
      </c>
    </row>
    <row r="197" spans="1:1" x14ac:dyDescent="0.25">
      <c r="A197" s="10" t="s">
        <v>228</v>
      </c>
    </row>
    <row r="198" spans="1:1" x14ac:dyDescent="0.25">
      <c r="A198" s="11" t="s">
        <v>229</v>
      </c>
    </row>
    <row r="199" spans="1:1" ht="30" x14ac:dyDescent="0.25">
      <c r="A199" s="10" t="s">
        <v>230</v>
      </c>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860AF-3E0B-4275-BD46-B1790263652D}">
  <sheetPr codeName="Sheet2"/>
  <dimension ref="A1:G5"/>
  <sheetViews>
    <sheetView zoomScaleNormal="100" workbookViewId="0">
      <selection activeCell="A12" sqref="A12"/>
    </sheetView>
  </sheetViews>
  <sheetFormatPr defaultColWidth="37.28515625" defaultRowHeight="15" x14ac:dyDescent="0.2"/>
  <cols>
    <col min="1" max="1" width="49" style="2" customWidth="1"/>
    <col min="2" max="2" width="39" style="2" bestFit="1" customWidth="1"/>
    <col min="3" max="4" width="36.5703125" style="2" bestFit="1" customWidth="1"/>
    <col min="5" max="5" width="16.42578125" style="2" bestFit="1" customWidth="1"/>
    <col min="6" max="6" width="19.5703125" style="2" bestFit="1" customWidth="1"/>
    <col min="7" max="7" width="19.7109375" style="2" bestFit="1" customWidth="1"/>
    <col min="8" max="16384" width="37.28515625" style="2"/>
  </cols>
  <sheetData>
    <row r="1" spans="1:7" ht="25.5" x14ac:dyDescent="0.35">
      <c r="A1" s="1" t="s">
        <v>85</v>
      </c>
    </row>
    <row r="2" spans="1:7" x14ac:dyDescent="0.2">
      <c r="A2" s="2" t="s">
        <v>32</v>
      </c>
      <c r="B2" s="2" t="s">
        <v>33</v>
      </c>
    </row>
    <row r="3" spans="1:7" x14ac:dyDescent="0.2">
      <c r="A3" s="2" t="str" cm="1">
        <f t="array" ref="A3">IF(SUMPRODUCT((COUNTIF(tbl_DataSource[LEAName], tbl_DataSource[LEAName])&gt;1)*1)&gt;0, "⚠️ DUPLICATE LEA NAMES FOUND - Resolve before proceeding!", "✓ No duplicates found")</f>
        <v>✓ No duplicates found</v>
      </c>
    </row>
    <row r="4" spans="1:7" ht="15.75" x14ac:dyDescent="0.25">
      <c r="A4" s="5" t="s">
        <v>3</v>
      </c>
      <c r="B4" s="5" t="s">
        <v>3</v>
      </c>
      <c r="C4" s="2" t="s">
        <v>2</v>
      </c>
      <c r="D4" s="2" t="s">
        <v>2</v>
      </c>
      <c r="E4" s="2" t="s">
        <v>2</v>
      </c>
      <c r="F4" s="2" t="s">
        <v>2</v>
      </c>
      <c r="G4" s="2" t="s">
        <v>2</v>
      </c>
    </row>
    <row r="5" spans="1:7" ht="15.75" x14ac:dyDescent="0.25">
      <c r="A5" s="6" t="s">
        <v>0</v>
      </c>
      <c r="B5" s="6" t="s">
        <v>4</v>
      </c>
      <c r="C5" s="6" t="s">
        <v>257</v>
      </c>
      <c r="D5" s="6" t="s">
        <v>256</v>
      </c>
      <c r="E5" s="6" t="s">
        <v>1</v>
      </c>
      <c r="F5" s="6" t="s">
        <v>5</v>
      </c>
      <c r="G5" s="7" t="s">
        <v>6</v>
      </c>
    </row>
  </sheetData>
  <conditionalFormatting sqref="A6:A1048576">
    <cfRule type="duplicateValues" dxfId="16" priority="4"/>
  </conditionalFormatting>
  <conditionalFormatting sqref="A2">
    <cfRule type="containsText" dxfId="15" priority="3" operator="containsText" text="Duplicates highlighted yellow">
      <formula>NOT(ISERROR(SEARCH("Duplicates highlighted yellow",A2)))</formula>
    </cfRule>
  </conditionalFormatting>
  <conditionalFormatting sqref="A6:B6">
    <cfRule type="expression" dxfId="14" priority="2">
      <formula>OR(TRIM(A6)="", A6=0)</formula>
    </cfRule>
  </conditionalFormatting>
  <conditionalFormatting sqref="B2">
    <cfRule type="containsText" dxfId="13" priority="1" operator="containsText" text="Missing required data highlighted red">
      <formula>NOT(ISERROR(SEARCH("Missing required data highlighted red",B2)))</formula>
    </cfRule>
  </conditionalFormatting>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075A7-4E48-4812-8863-65B7F14CB8B4}">
  <sheetPr codeName="Sheet3"/>
  <dimension ref="A1:L3"/>
  <sheetViews>
    <sheetView workbookViewId="0">
      <selection activeCell="A9" sqref="A9"/>
    </sheetView>
  </sheetViews>
  <sheetFormatPr defaultRowHeight="15" x14ac:dyDescent="0.2"/>
  <cols>
    <col min="1" max="1" width="15.7109375" style="8" bestFit="1" customWidth="1"/>
    <col min="2" max="2" width="17.28515625" style="8" bestFit="1" customWidth="1"/>
    <col min="3" max="3" width="39" style="2" bestFit="1" customWidth="1"/>
    <col min="4" max="6" width="36.5703125" style="2" bestFit="1" customWidth="1"/>
    <col min="7" max="7" width="16.42578125" style="2" bestFit="1" customWidth="1"/>
    <col min="8" max="8" width="11.5703125" style="2" bestFit="1" customWidth="1"/>
    <col min="9" max="9" width="11.7109375" style="2" bestFit="1" customWidth="1"/>
    <col min="10" max="10" width="9.5703125" style="2" bestFit="1" customWidth="1"/>
    <col min="11" max="11" width="143.140625" style="2" customWidth="1"/>
    <col min="12" max="12" width="171.42578125" style="2" customWidth="1"/>
    <col min="13" max="15" width="141.7109375" style="2" bestFit="1" customWidth="1"/>
    <col min="16" max="16" width="123.5703125" style="2" bestFit="1" customWidth="1"/>
    <col min="17" max="17" width="118.42578125" style="2" bestFit="1" customWidth="1"/>
    <col min="18" max="18" width="109.85546875" style="2" bestFit="1" customWidth="1"/>
    <col min="19" max="16384" width="9.140625" style="2"/>
  </cols>
  <sheetData>
    <row r="1" spans="1:12" x14ac:dyDescent="0.2">
      <c r="B1" s="2" t="str">
        <f>IF(COUNTIF(_xlfn.ANCHORARRAY(B3), TRUE) &gt; 0, "⚠️ DUPLICATE LEA NAMES - DO NOT RUN MACROS", "✓ No duplicates found")</f>
        <v>⚠️ DUPLICATE LEA NAMES - DO NOT RUN MACROS</v>
      </c>
    </row>
    <row r="2" spans="1:12" x14ac:dyDescent="0.2">
      <c r="A2" s="8" t="s">
        <v>27</v>
      </c>
      <c r="B2" s="8" t="s">
        <v>61</v>
      </c>
      <c r="C2" s="2" t="str" cm="1">
        <f t="array" ref="C2:I2">tbl_DataSource[#Headers]</f>
        <v>LEAName</v>
      </c>
      <c r="D2" s="2" t="str">
        <v>ToEmail</v>
      </c>
      <c r="E2" s="2" t="str">
        <v>CCEmail1</v>
      </c>
      <c r="F2" s="2" t="str">
        <v>CCEmail2</v>
      </c>
      <c r="G2" s="2" t="str">
        <v>Title</v>
      </c>
      <c r="H2" s="2" t="str">
        <v>LastName</v>
      </c>
      <c r="I2" s="2" t="str">
        <v>FirstName</v>
      </c>
      <c r="J2" s="2" t="s">
        <v>28</v>
      </c>
      <c r="K2" s="2" t="s">
        <v>29</v>
      </c>
      <c r="L2" s="2" t="s">
        <v>30</v>
      </c>
    </row>
    <row r="3" spans="1:12" x14ac:dyDescent="0.2">
      <c r="A3" s="8" t="s">
        <v>31</v>
      </c>
      <c r="B3" s="8" t="b" cm="1">
        <f t="array" ref="B3">COUNTIF(C:C, _xlfn.CHOOSECOLS(_xlfn.ANCHORARRAY(C3),1)) &gt; 1</f>
        <v>1</v>
      </c>
      <c r="C3" s="2" t="str" cm="1">
        <f t="array" ref="C3">_xlfn.LET(
    _xlpm.data, IFERROR(_xlfn._xlws.FILTER(tbl_DataSource[], tbl_DataSource[LEAName]&lt;&gt;""), ""),
    IF(_xlpm.data=0, "", _xlpm.data)
)</f>
        <v/>
      </c>
      <c r="J3" s="2" cm="1">
        <f t="array" ref="J3">IFERROR(_xlfn.SEQUENCE(ROWS(_xlfn.ANCHORARRAY(C3))), "")</f>
        <v>1</v>
      </c>
      <c r="K3" s="2" t="str" cm="1">
        <f t="array" ref="K3">IFERROR(_xlfn.XLOOKUP("OriginalSplitFolderPath", tbl_Config[Setting], tbl_Config[Value]) &amp; "\" &amp; _xlfn.XLOOKUP("FiscalYearPrefix", tbl_Config[Setting], tbl_Config[Value]) &amp; " " &amp; _xlfn.XLOOKUP("OriginalBaseFileName", tbl_Config[Setting], tbl_Config[Value]) &amp;_xlfn.ANCHORARRAY( J3) &amp; "." &amp; _xlfn.XLOOKUP("FileExtension", tbl_Config[Setting], tbl_Config[Value]), "")</f>
        <v>C:\Path\To\Original Split PDFs\FY 2025-26 GAN for LEA-1.pdf</v>
      </c>
      <c r="L3" s="2" t="str" cm="1">
        <f t="array" ref="L3">IFERROR(_xlfn.XLOOKUP("RenamedFilesFolderPath", tbl_Config[Setting], tbl_Config[Value]) &amp; "\" &amp; _xlfn.XLOOKUP("FiscalYearPrefix", tbl_Config[Setting], tbl_Config[Value]) &amp; " " &amp; _xlfn.XLOOKUP("NewBaseFileName", tbl_Config[Setting], tbl_Config[Value]) &amp; " " &amp; _xlfn.CHOOSECOLS(_xlfn.ANCHORARRAY(C3), 1) &amp; "." &amp; _xlfn.XLOOKUP("FileExtension", tbl_Config[Setting], tbl_Config[Value]), "")</f>
        <v>C:\Path\To\Renamed PDFs\FY 2025-26 GAN for .pdf</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30E45-B63F-45D2-A709-FA77F3BC108E}">
  <sheetPr codeName="Sheet4"/>
  <dimension ref="A1:B15"/>
  <sheetViews>
    <sheetView workbookViewId="0">
      <selection activeCell="A21" sqref="A21"/>
    </sheetView>
  </sheetViews>
  <sheetFormatPr defaultRowHeight="15" x14ac:dyDescent="0.2"/>
  <cols>
    <col min="1" max="1" width="57.85546875" style="2" bestFit="1" customWidth="1"/>
    <col min="2" max="2" width="57.140625" style="2" bestFit="1" customWidth="1"/>
    <col min="3" max="3" width="9.140625" style="2"/>
    <col min="4" max="4" width="30.85546875" style="2" bestFit="1" customWidth="1"/>
    <col min="5" max="5" width="37.140625" style="2" bestFit="1" customWidth="1"/>
    <col min="6" max="16384" width="9.140625" style="2"/>
  </cols>
  <sheetData>
    <row r="1" spans="1:2" ht="25.5" x14ac:dyDescent="0.35">
      <c r="A1" s="1" t="s">
        <v>18</v>
      </c>
    </row>
    <row r="2" spans="1:2" x14ac:dyDescent="0.2">
      <c r="A2" s="2" t="s">
        <v>7</v>
      </c>
      <c r="B2" s="2" t="s">
        <v>8</v>
      </c>
    </row>
    <row r="3" spans="1:2" x14ac:dyDescent="0.2">
      <c r="A3" s="2" t="s">
        <v>9</v>
      </c>
      <c r="B3" s="2" t="s">
        <v>10</v>
      </c>
    </row>
    <row r="4" spans="1:2" x14ac:dyDescent="0.2">
      <c r="A4" s="2" t="s">
        <v>11</v>
      </c>
      <c r="B4" s="2" t="s">
        <v>295</v>
      </c>
    </row>
    <row r="5" spans="1:2" x14ac:dyDescent="0.2">
      <c r="A5" s="2" t="s">
        <v>60</v>
      </c>
      <c r="B5" s="2" t="s">
        <v>296</v>
      </c>
    </row>
    <row r="6" spans="1:2" x14ac:dyDescent="0.2">
      <c r="A6" s="2" t="s">
        <v>12</v>
      </c>
      <c r="B6" s="2" t="s">
        <v>297</v>
      </c>
    </row>
    <row r="7" spans="1:2" x14ac:dyDescent="0.2">
      <c r="A7" s="2" t="s">
        <v>13</v>
      </c>
      <c r="B7" s="2" t="s">
        <v>14</v>
      </c>
    </row>
    <row r="8" spans="1:2" x14ac:dyDescent="0.2">
      <c r="A8" s="2" t="s">
        <v>15</v>
      </c>
      <c r="B8" s="2" t="s">
        <v>233</v>
      </c>
    </row>
    <row r="9" spans="1:2" x14ac:dyDescent="0.2">
      <c r="A9" s="2" t="s">
        <v>16</v>
      </c>
      <c r="B9" s="2" t="s">
        <v>232</v>
      </c>
    </row>
    <row r="10" spans="1:2" x14ac:dyDescent="0.2">
      <c r="A10" s="2" t="s">
        <v>17</v>
      </c>
    </row>
    <row r="11" spans="1:2" x14ac:dyDescent="0.2">
      <c r="A11" s="2" t="s">
        <v>83</v>
      </c>
      <c r="B11" s="2" t="s">
        <v>84</v>
      </c>
    </row>
    <row r="12" spans="1:2" x14ac:dyDescent="0.2">
      <c r="A12" s="2" t="s">
        <v>26</v>
      </c>
    </row>
    <row r="13" spans="1:2" x14ac:dyDescent="0.2">
      <c r="A13" s="2" t="s">
        <v>82</v>
      </c>
      <c r="B13" s="2" t="s">
        <v>31</v>
      </c>
    </row>
    <row r="14" spans="1:2" x14ac:dyDescent="0.2">
      <c r="A14" s="2" t="s">
        <v>80</v>
      </c>
      <c r="B14" s="2" t="s">
        <v>84</v>
      </c>
    </row>
    <row r="15" spans="1:2" x14ac:dyDescent="0.2">
      <c r="A15" s="2" t="s">
        <v>81</v>
      </c>
    </row>
  </sheetData>
  <dataValidations count="1">
    <dataValidation type="list" showInputMessage="1" showErrorMessage="1" sqref="B11 B13:B14" xr:uid="{6EA82622-DB3B-44F5-9A56-11B952CE58C8}">
      <formula1>"Y, N"</formula1>
    </dataValidation>
  </dataValidations>
  <pageMargins left="0.7" right="0.7" top="0.75" bottom="0.75" header="0.3" footer="0.3"/>
  <pageSetup orientation="portrait" horizontalDpi="1200" verticalDpi="120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AE5EE0-D584-4454-9D4A-3F5D651C7BC9}">
  <sheetPr codeName="Sheet5"/>
  <dimension ref="A1:D30"/>
  <sheetViews>
    <sheetView workbookViewId="0">
      <selection activeCell="A9" sqref="A9"/>
    </sheetView>
  </sheetViews>
  <sheetFormatPr defaultColWidth="109.42578125" defaultRowHeight="15" x14ac:dyDescent="0.2"/>
  <cols>
    <col min="1" max="1" width="33" style="2" bestFit="1" customWidth="1"/>
    <col min="2" max="2" width="45.42578125" style="2" customWidth="1"/>
    <col min="3" max="3" width="72.28515625" style="2" customWidth="1"/>
    <col min="4" max="4" width="109.42578125" style="2"/>
    <col min="5" max="5" width="255.7109375" style="2" bestFit="1" customWidth="1"/>
    <col min="6" max="16384" width="109.42578125" style="2"/>
  </cols>
  <sheetData>
    <row r="1" spans="1:4" ht="25.5" x14ac:dyDescent="0.35">
      <c r="A1" s="1" t="s">
        <v>38</v>
      </c>
    </row>
    <row r="2" spans="1:4" x14ac:dyDescent="0.2">
      <c r="A2" s="2" t="s">
        <v>19</v>
      </c>
      <c r="B2" s="2" t="s">
        <v>21</v>
      </c>
    </row>
    <row r="3" spans="1:4" x14ac:dyDescent="0.2">
      <c r="A3" s="2" t="s">
        <v>25</v>
      </c>
      <c r="B3" s="2" t="s">
        <v>20</v>
      </c>
    </row>
    <row r="4" spans="1:4" x14ac:dyDescent="0.2">
      <c r="A4" s="2" t="s">
        <v>22</v>
      </c>
      <c r="B4" s="2" t="str">
        <f>_xlfn.XLOOKUP("FiscalYearPrefix", tbl_Config[Setting], tbl_Config[Value]) &amp; " " &amp; _xlfn.XLOOKUP("OriginalBaseFileName", tbl_Config[Setting], tbl_Config[Value]) &amp; "{FileNum}" &amp; "." &amp; _xlfn.XLOOKUP("FileExtension", tbl_Config[Setting], tbl_Config[Value])</f>
        <v>FY 2025-26 GAN for LEA-{FileNum}.pdf</v>
      </c>
    </row>
    <row r="5" spans="1:4" x14ac:dyDescent="0.2">
      <c r="A5" s="2" t="s">
        <v>23</v>
      </c>
      <c r="B5" s="2" t="str">
        <f>_xlfn.XLOOKUP("FiscalYearPrefix", tbl_Config[Setting], tbl_Config[Value]) &amp; " " &amp; _xlfn.XLOOKUP("NewBaseFileName", tbl_Config[Setting], tbl_Config[Value]) &amp; " " &amp; "{LEAName}" &amp; "." &amp; _xlfn.XLOOKUP("FileExtension", tbl_Config[Setting], tbl_Config[Value])</f>
        <v>FY 2025-26 GAN for {LEAName}.pdf</v>
      </c>
    </row>
    <row r="6" spans="1:4" x14ac:dyDescent="0.2">
      <c r="A6" s="2" t="s">
        <v>24</v>
      </c>
      <c r="B6" s="2" t="str">
        <f>_xlfn.XLOOKUP("FiscalYearPrefix", tbl_Config[Setting], tbl_Config[Value]) &amp; " " &amp; _xlfn.XLOOKUP("OriginalBaseFileName", tbl_Config[Setting], tbl_Config[Value])</f>
        <v>FY 2025-26 GAN for LEA-</v>
      </c>
    </row>
    <row r="8" spans="1:4" ht="25.5" x14ac:dyDescent="0.35">
      <c r="A8" s="1" t="s">
        <v>58</v>
      </c>
    </row>
    <row r="9" spans="1:4" ht="15.75" x14ac:dyDescent="0.2">
      <c r="A9" s="3" t="s">
        <v>59</v>
      </c>
      <c r="B9" s="3" t="s">
        <v>36</v>
      </c>
      <c r="C9" s="3" t="s">
        <v>37</v>
      </c>
      <c r="D9" s="3" t="s">
        <v>102</v>
      </c>
    </row>
    <row r="10" spans="1:4" ht="30" x14ac:dyDescent="0.2">
      <c r="A10" s="4" t="s">
        <v>79</v>
      </c>
      <c r="B10" s="4" t="s">
        <v>56</v>
      </c>
      <c r="C10" s="4" t="s">
        <v>57</v>
      </c>
      <c r="D10" s="4" t="str">
        <f>tbl_ErrorMeanings[[#This Row],[ErrorMessage]]&amp;" | "&amp;tbl_ErrorMeanings[[#This Row],[Meaning]]&amp;" | "&amp;tbl_ErrorMeanings[[#This Row],[Fix]]</f>
        <v>Contains Illegal Characters | LEAName contains characters not allowed in filenames | Remove characters like / \ : * ? " &lt; &gt;</v>
      </c>
    </row>
    <row r="11" spans="1:4" ht="45" x14ac:dyDescent="0.2">
      <c r="A11" s="4" t="s">
        <v>63</v>
      </c>
      <c r="B11" s="4" t="s">
        <v>64</v>
      </c>
      <c r="C11" s="4" t="s">
        <v>65</v>
      </c>
      <c r="D11" s="4" t="str">
        <f>tbl_ErrorMeanings[[#This Row],[ErrorMessage]]&amp;" | "&amp;tbl_ErrorMeanings[[#This Row],[Meaning]]&amp;" | "&amp;tbl_ErrorMeanings[[#This Row],[Fix]]</f>
        <v>Duplicate LEA Name | This LEA name appears more than once in the data | Resolve duplicates in the DataSource tab (true duplicates like Washington Unified should be modified to differentiate the entities), then re-run</v>
      </c>
    </row>
    <row r="12" spans="1:4" ht="30" x14ac:dyDescent="0.2">
      <c r="A12" s="4" t="s">
        <v>47</v>
      </c>
      <c r="B12" s="4" t="s">
        <v>48</v>
      </c>
      <c r="C12" s="4" t="s">
        <v>49</v>
      </c>
      <c r="D12" s="4" t="str">
        <f>tbl_ErrorMeanings[[#This Row],[ErrorMessage]]&amp;" | "&amp;tbl_ErrorMeanings[[#This Row],[Meaning]]&amp;" | "&amp;tbl_ErrorMeanings[[#This Row],[Fix]]</f>
        <v>File Already Exists | A renamed PDF with this name already exists | Check for duplicate LEANames or a previous partial run</v>
      </c>
    </row>
    <row r="13" spans="1:4" ht="30" x14ac:dyDescent="0.2">
      <c r="A13" s="4" t="s">
        <v>39</v>
      </c>
      <c r="B13" s="4" t="s">
        <v>40</v>
      </c>
      <c r="C13" s="4" t="s">
        <v>41</v>
      </c>
      <c r="D13" s="4" t="str">
        <f>tbl_ErrorMeanings[[#This Row],[ErrorMessage]]&amp;" | "&amp;tbl_ErrorMeanings[[#This Row],[Meaning]]&amp;" | "&amp;tbl_ErrorMeanings[[#This Row],[Fix]]</f>
        <v>File Not Found | The renamed PDF doesn't exist at the expected path | Verify the rename macro was run first and the LEAName matches exactly</v>
      </c>
    </row>
    <row r="14" spans="1:4" ht="30" x14ac:dyDescent="0.2">
      <c r="A14" s="4" t="s">
        <v>72</v>
      </c>
      <c r="B14" s="4" t="s">
        <v>42</v>
      </c>
      <c r="C14" s="4" t="s">
        <v>43</v>
      </c>
      <c r="D14" s="4" t="str">
        <f>tbl_ErrorMeanings[[#This Row],[ErrorMessage]]&amp;" | "&amp;tbl_ErrorMeanings[[#This Row],[Meaning]]&amp;" | "&amp;tbl_ErrorMeanings[[#This Row],[Fix]]</f>
        <v>File to Rename Not Found | The source PDF doesn't exist for renaming | Verify the PDF was split and the file number matches the row</v>
      </c>
    </row>
    <row r="15" spans="1:4" ht="30" x14ac:dyDescent="0.2">
      <c r="A15" s="4" t="s">
        <v>87</v>
      </c>
      <c r="B15" s="4" t="s">
        <v>89</v>
      </c>
      <c r="C15" s="4" t="s">
        <v>93</v>
      </c>
      <c r="D15" s="4" t="str">
        <f>tbl_ErrorMeanings[[#This Row],[ErrorMessage]]&amp;" | "&amp;tbl_ErrorMeanings[[#This Row],[Meaning]]&amp;" | "&amp;tbl_ErrorMeanings[[#This Row],[Fix]]</f>
        <v>Fixed Attachment Not Found | The fixed attachment does not exist at the specified path | Check FixedAttachmentPath in Config</v>
      </c>
    </row>
    <row r="16" spans="1:4" ht="45" x14ac:dyDescent="0.2">
      <c r="A16" s="4" t="s">
        <v>108</v>
      </c>
      <c r="B16" s="4" t="s">
        <v>107</v>
      </c>
      <c r="C16" s="4" t="s">
        <v>112</v>
      </c>
      <c r="D16" s="4" t="str">
        <f>tbl_ErrorMeanings[[#This Row],[ErrorMessage]]&amp;" | "&amp;tbl_ErrorMeanings[[#This Row],[Meaning]]&amp;" | "&amp;tbl_ErrorMeanings[[#This Row],[Fix]]</f>
        <v>Invalid Y/N Setting | A Y/N configuration field was blank or contained an invalid value. It was treated as N | Enter Y or N for all Y/N settings in the Config tab</v>
      </c>
    </row>
    <row r="17" spans="1:4" ht="45" x14ac:dyDescent="0.2">
      <c r="A17" s="4" t="s">
        <v>103</v>
      </c>
      <c r="B17" s="4" t="s">
        <v>104</v>
      </c>
      <c r="C17" s="4" t="s">
        <v>110</v>
      </c>
      <c r="D17" s="4" t="str">
        <f>tbl_ErrorMeanings[[#This Row],[ErrorMessage]]&amp;" | "&amp;tbl_ErrorMeanings[[#This Row],[Meaning]]&amp;" | "&amp;tbl_ErrorMeanings[[#This Row],[Fix]]</f>
        <v>Malformed Email Address | An email address is not in standard format (text@text.text) | Check email addresses (in Config tab if error occurred during Email Setup and by row otherwise) for typos, formatting errors, or missing characters</v>
      </c>
    </row>
    <row r="18" spans="1:4" ht="30" x14ac:dyDescent="0.2">
      <c r="A18" s="4" t="s">
        <v>109</v>
      </c>
      <c r="B18" s="4" t="s">
        <v>113</v>
      </c>
      <c r="C18" s="4" t="s">
        <v>111</v>
      </c>
      <c r="D18" s="4" t="str">
        <f>tbl_ErrorMeanings[[#This Row],[ErrorMessage]]&amp;" | "&amp;tbl_ErrorMeanings[[#This Row],[Meaning]]&amp;" | "&amp;tbl_ErrorMeanings[[#This Row],[Fix]]</f>
        <v>Missing Email Address | The recipient email address (ToEmail) is missing. | Enter an email address in the ToEmail column for this row</v>
      </c>
    </row>
    <row r="19" spans="1:4" ht="30" x14ac:dyDescent="0.2">
      <c r="A19" s="4" t="s">
        <v>73</v>
      </c>
      <c r="B19" s="4" t="s">
        <v>74</v>
      </c>
      <c r="C19" s="4" t="s">
        <v>75</v>
      </c>
      <c r="D19" s="4" t="str">
        <f>tbl_ErrorMeanings[[#This Row],[ErrorMessage]]&amp;" | "&amp;tbl_ErrorMeanings[[#This Row],[Meaning]]&amp;" | "&amp;tbl_ErrorMeanings[[#This Row],[Fix]]</f>
        <v>Missing EmailTemplatePath | The cell that should contain the path to the Outlook template is empty | Enter the full file path to the .oft template for your emails in the EmailTemplatePath field of the Config tab</v>
      </c>
    </row>
    <row r="20" spans="1:4" ht="45" x14ac:dyDescent="0.2">
      <c r="A20" s="4" t="s">
        <v>86</v>
      </c>
      <c r="B20" s="4" t="s">
        <v>88</v>
      </c>
      <c r="C20" s="4" t="s">
        <v>92</v>
      </c>
      <c r="D20" s="4" t="str">
        <f>tbl_ErrorMeanings[[#This Row],[ErrorMessage]]&amp;" | "&amp;tbl_ErrorMeanings[[#This Row],[Meaning]]&amp;" | "&amp;tbl_ErrorMeanings[[#This Row],[Fix]]</f>
        <v>Missing FixedAttachmentPath | UseFixedAttachment is enabled, but the cell that should contain the path  to the attachment is empty | Enter the full path to the file you want to attach</v>
      </c>
    </row>
    <row r="21" spans="1:4" ht="45" x14ac:dyDescent="0.2">
      <c r="A21" s="4" t="s">
        <v>77</v>
      </c>
      <c r="B21" s="4" t="s">
        <v>105</v>
      </c>
      <c r="C21" s="4" t="s">
        <v>94</v>
      </c>
      <c r="D21" s="4" t="str">
        <f>tbl_ErrorMeanings[[#This Row],[ErrorMessage]]&amp;" | "&amp;tbl_ErrorMeanings[[#This Row],[Meaning]]&amp;" | "&amp;tbl_ErrorMeanings[[#This Row],[Fix]]</f>
        <v>Missing FixedBCCAddress | UseFixedBCC(Y/N) is enabled, but the cell that should contain the email address to be BCC'd in every email is empty. | Either enter a BCC address in Config or set UseFixedBCC(Y/N) to N</v>
      </c>
    </row>
    <row r="22" spans="1:4" ht="45" x14ac:dyDescent="0.2">
      <c r="A22" s="4" t="s">
        <v>76</v>
      </c>
      <c r="B22" s="4" t="s">
        <v>106</v>
      </c>
      <c r="C22" s="4" t="s">
        <v>95</v>
      </c>
      <c r="D22" s="4" t="str">
        <f>tbl_ErrorMeanings[[#This Row],[ErrorMessage]]&amp;" | "&amp;tbl_ErrorMeanings[[#This Row],[Meaning]]&amp;" | "&amp;tbl_ErrorMeanings[[#This Row],[Fix]]</f>
        <v>Missing FixedCCAddress | UseFixedCC(Y/N) is enabled, but the cell that should contain the email address to be CC'd in every email is empty. | Either enter a CC address in Config or set UseFixedCC(Y/N) to N</v>
      </c>
    </row>
    <row r="23" spans="1:4" ht="75" x14ac:dyDescent="0.2">
      <c r="A23" s="4" t="s">
        <v>68</v>
      </c>
      <c r="B23" s="4" t="s">
        <v>66</v>
      </c>
      <c r="C23" s="4" t="s">
        <v>67</v>
      </c>
      <c r="D23" s="4" t="str">
        <f>tbl_ErrorMeanings[[#This Row],[ErrorMessage]]&amp;" | "&amp;tbl_ErrorMeanings[[#This Row],[Meaning]]&amp;" | "&amp;tbl_ErrorMeanings[[#This Row],[Fix]]</f>
        <v>Missing FROM Path | The cell that should contain the path to the file being renamed is empty | Check if all file paths are missing, which would indicate the formula was deleted. If only some are missing, the original spill formula may have been replaced by row-by-row formulas, and specific ones were omitted or deleted. Check the formulas in the Data tab's OriginalFilePath column</v>
      </c>
    </row>
    <row r="24" spans="1:4" ht="75" x14ac:dyDescent="0.2">
      <c r="A24" s="4" t="s">
        <v>69</v>
      </c>
      <c r="B24" s="4" t="s">
        <v>70</v>
      </c>
      <c r="C24" s="4" t="s">
        <v>71</v>
      </c>
      <c r="D24" s="4" t="str">
        <f>tbl_ErrorMeanings[[#This Row],[ErrorMessage]]&amp;" | "&amp;tbl_ErrorMeanings[[#This Row],[Meaning]]&amp;" | "&amp;tbl_ErrorMeanings[[#This Row],[Fix]]</f>
        <v>Missing TO Path | The cell that should contain the path to where the renamed file should go is empty | Check if all file paths are missing, which would indicate the formula was deleted. If only some are missing, the original spill formula may have been replaced by row-by-row formulas, and specific ones were omitted or deleted. Check the formulas in the Data tab's RenamedFilePath column</v>
      </c>
    </row>
    <row r="25" spans="1:4" x14ac:dyDescent="0.2">
      <c r="A25" s="4" t="s">
        <v>96</v>
      </c>
      <c r="B25" s="4" t="s">
        <v>97</v>
      </c>
      <c r="C25" s="4" t="s">
        <v>98</v>
      </c>
      <c r="D25" s="4" t="str">
        <f>tbl_ErrorMeanings[[#This Row],[ErrorMessage]]&amp;" | "&amp;tbl_ErrorMeanings[[#This Row],[Meaning]]&amp;" | "&amp;tbl_ErrorMeanings[[#This Row],[Fix]]</f>
        <v>No Data | The Data tab has no rows to process | Populate the appropriate columns in the SourceData tab</v>
      </c>
    </row>
    <row r="26" spans="1:4" ht="30" x14ac:dyDescent="0.2">
      <c r="A26" s="4" t="s">
        <v>99</v>
      </c>
      <c r="B26" s="4" t="s">
        <v>100</v>
      </c>
      <c r="C26" s="4" t="s">
        <v>101</v>
      </c>
      <c r="D26" s="4" t="str">
        <f>tbl_ErrorMeanings[[#This Row],[ErrorMessage]]&amp;" | "&amp;tbl_ErrorMeanings[[#This Row],[Meaning]]&amp;" | "&amp;tbl_ErrorMeanings[[#This Row],[Fix]]</f>
        <v xml:space="preserve">No Rows Ready | No rows in the Data tab are marked Y in the ReadyToSend column | Set ReadyToSend to Y for the rows you want to process. </v>
      </c>
    </row>
    <row r="27" spans="1:4" ht="45" x14ac:dyDescent="0.2">
      <c r="A27" s="4" t="s">
        <v>52</v>
      </c>
      <c r="B27" s="4" t="s">
        <v>53</v>
      </c>
      <c r="C27" s="4" t="s">
        <v>78</v>
      </c>
      <c r="D27" s="4" t="str">
        <f>tbl_ErrorMeanings[[#This Row],[ErrorMessage]]&amp;" | "&amp;tbl_ErrorMeanings[[#This Row],[Meaning]]&amp;" | "&amp;tbl_ErrorMeanings[[#This Row],[Fix]]</f>
        <v>Outlook Error | Outlook encountered an unexpected error | Ensure Outlook is running and not in offline mode. Also verify that you have Send permissions for the mailbox in the FromAddress if sending from a shared mailbox.</v>
      </c>
    </row>
    <row r="28" spans="1:4" ht="30" x14ac:dyDescent="0.2">
      <c r="A28" s="4" t="s">
        <v>50</v>
      </c>
      <c r="B28" s="4" t="s">
        <v>51</v>
      </c>
      <c r="C28" s="4" t="s">
        <v>91</v>
      </c>
      <c r="D28" s="4" t="str">
        <f>tbl_ErrorMeanings[[#This Row],[ErrorMessage]]&amp;" | "&amp;tbl_ErrorMeanings[[#This Row],[Meaning]]&amp;" | "&amp;tbl_ErrorMeanings[[#This Row],[Fix]]</f>
        <v>Path Too Long | The file path exceeds Windows' 260-character limit | Shorten folder names or LEAName or store your files at a higher structural level</v>
      </c>
    </row>
    <row r="29" spans="1:4" ht="30" x14ac:dyDescent="0.2">
      <c r="A29" s="4" t="s">
        <v>44</v>
      </c>
      <c r="B29" s="4" t="s">
        <v>45</v>
      </c>
      <c r="C29" s="4" t="s">
        <v>46</v>
      </c>
      <c r="D29" s="4" t="str">
        <f>tbl_ErrorMeanings[[#This Row],[ErrorMessage]]&amp;" | "&amp;tbl_ErrorMeanings[[#This Row],[Meaning]]&amp;" | "&amp;tbl_ErrorMeanings[[#This Row],[Fix]]</f>
        <v>Rename Failed | The PDF couldn't be copied to the new location | Check write permissions to the destination folder and that the file isn't open in another program</v>
      </c>
    </row>
    <row r="30" spans="1:4" ht="30" x14ac:dyDescent="0.2">
      <c r="A30" s="4" t="s">
        <v>54</v>
      </c>
      <c r="B30" s="4" t="s">
        <v>90</v>
      </c>
      <c r="C30" s="4" t="s">
        <v>55</v>
      </c>
      <c r="D30" s="4" t="str">
        <f>tbl_ErrorMeanings[[#This Row],[ErrorMessage]]&amp;" | "&amp;tbl_ErrorMeanings[[#This Row],[Meaning]]&amp;" | "&amp;tbl_ErrorMeanings[[#This Row],[Fix]]</f>
        <v>Template Not Found | The email template file doesn't exist at the specified path | Check EmailTemplatePath in Config</v>
      </c>
    </row>
  </sheetData>
  <pageMargins left="0.7" right="0.7" top="0.75" bottom="0.75" header="0.3" footer="0.3"/>
  <pageSetup orientation="portrait" horizontalDpi="1200" verticalDpi="1200"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7AFBB5-4040-48E3-8CC8-5523E32BCF29}">
  <sheetPr codeName="Sheet6"/>
  <dimension ref="A1:J2"/>
  <sheetViews>
    <sheetView topLeftCell="E1" workbookViewId="0">
      <selection activeCell="G2" sqref="G2"/>
    </sheetView>
  </sheetViews>
  <sheetFormatPr defaultRowHeight="15" x14ac:dyDescent="0.2"/>
  <cols>
    <col min="1" max="1" width="16.5703125" style="2" bestFit="1" customWidth="1"/>
    <col min="2" max="2" width="27.140625" style="2" bestFit="1" customWidth="1"/>
    <col min="3" max="3" width="13.5703125" style="2" bestFit="1" customWidth="1"/>
    <col min="4" max="4" width="39" style="2" bestFit="1" customWidth="1"/>
    <col min="5" max="5" width="27.85546875" style="2" bestFit="1" customWidth="1"/>
    <col min="6" max="8" width="36.5703125" style="2" bestFit="1" customWidth="1"/>
    <col min="9" max="9" width="47.5703125" style="2" bestFit="1" customWidth="1"/>
    <col min="10" max="10" width="62.7109375" style="2" bestFit="1" customWidth="1"/>
    <col min="11" max="16384" width="9.140625" style="2"/>
  </cols>
  <sheetData>
    <row r="1" spans="1:10" x14ac:dyDescent="0.2">
      <c r="A1" s="2" t="s">
        <v>34</v>
      </c>
      <c r="B1" s="2" t="s">
        <v>62</v>
      </c>
      <c r="C1" s="2" t="s">
        <v>35</v>
      </c>
      <c r="D1" s="2" t="s">
        <v>0</v>
      </c>
      <c r="E1" s="2" t="s">
        <v>59</v>
      </c>
      <c r="F1" s="2" t="s">
        <v>4</v>
      </c>
      <c r="G1" s="2" t="s">
        <v>257</v>
      </c>
      <c r="H1" s="2" t="s">
        <v>256</v>
      </c>
      <c r="I1" s="2" t="s">
        <v>36</v>
      </c>
      <c r="J1" s="2" t="s">
        <v>37</v>
      </c>
    </row>
    <row r="2" spans="1:10" x14ac:dyDescent="0.2">
      <c r="I2" s="2" t="str">
        <f>_xlfn.XLOOKUP(tbl_ErrorLog[[#This Row],[ErrorMessage]],tbl_ErrorMeanings[ErrorMessage],tbl_ErrorMeanings[Meaning],"")</f>
        <v/>
      </c>
      <c r="J2" s="2" t="str">
        <f>_xlfn.XLOOKUP(tbl_ErrorLog[[#This Row],[ErrorMessage]],tbl_ErrorMeanings[ErrorMessage],tbl_ErrorMeanings[Fix],"")</f>
        <v/>
      </c>
    </row>
  </sheetData>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Instructions</vt:lpstr>
      <vt:lpstr>SourceData</vt:lpstr>
      <vt:lpstr>Data</vt:lpstr>
      <vt:lpstr>Config</vt:lpstr>
      <vt:lpstr>Info</vt:lpstr>
      <vt:lpstr>ErrorLog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Savannah Knight</dc:creator>
  <cp:lastModifiedBy>Savannah Knight</cp:lastModifiedBy>
  <dcterms:created xsi:type="dcterms:W3CDTF">2025-12-24T20:34:17Z</dcterms:created>
  <dcterms:modified xsi:type="dcterms:W3CDTF">2026-04-26T06:10:47Z</dcterms:modified>
</cp:coreProperties>
</file>